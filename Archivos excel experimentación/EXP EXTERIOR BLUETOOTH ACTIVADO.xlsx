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<sst xmlns="http://schemas.openxmlformats.org/spreadsheetml/2006/main" count="243" uniqueCount="111">
  <si>
    <t>1m</t>
  </si>
  <si>
    <t>RTT(ms)</t>
  </si>
  <si>
    <t>Latencia</t>
  </si>
  <si>
    <t>PDR</t>
  </si>
  <si>
    <t>100.00</t>
  </si>
  <si>
    <t>50.00</t>
  </si>
  <si>
    <t>3.45</t>
  </si>
  <si>
    <t>2.86</t>
  </si>
  <si>
    <t>40.00</t>
  </si>
  <si>
    <t>6.45</t>
  </si>
  <si>
    <t>3.28</t>
  </si>
  <si>
    <t>9.38</t>
  </si>
  <si>
    <t>4.69</t>
  </si>
  <si>
    <t>57.14</t>
  </si>
  <si>
    <t>11.11</t>
  </si>
  <si>
    <t>45.45</t>
  </si>
  <si>
    <t>62.50</t>
  </si>
  <si>
    <t>13.51</t>
  </si>
  <si>
    <t>85.71</t>
  </si>
  <si>
    <t>66.67</t>
  </si>
  <si>
    <t>15.38</t>
  </si>
  <si>
    <t>53.85</t>
  </si>
  <si>
    <t>87.50</t>
  </si>
  <si>
    <t>70.00</t>
  </si>
  <si>
    <t>17.50</t>
  </si>
  <si>
    <t>53.33</t>
  </si>
  <si>
    <t>88.89</t>
  </si>
  <si>
    <t>19.51</t>
  </si>
  <si>
    <t>56.25</t>
  </si>
  <si>
    <t>90.00</t>
  </si>
  <si>
    <t>21.43</t>
  </si>
  <si>
    <t>58.82</t>
  </si>
  <si>
    <t>90.91</t>
  </si>
  <si>
    <t>23.26</t>
  </si>
  <si>
    <t>61.11</t>
  </si>
  <si>
    <t>91.67</t>
  </si>
  <si>
    <t>24.44</t>
  </si>
  <si>
    <t>63.16</t>
  </si>
  <si>
    <t>92.31</t>
  </si>
  <si>
    <t>26.09</t>
  </si>
  <si>
    <t>65.00</t>
  </si>
  <si>
    <t>92.86</t>
  </si>
  <si>
    <t>27.66</t>
  </si>
  <si>
    <t>93.33</t>
  </si>
  <si>
    <t>29.17</t>
  </si>
  <si>
    <t>68.18</t>
  </si>
  <si>
    <t>93.75</t>
  </si>
  <si>
    <t>30.61</t>
  </si>
  <si>
    <t>69.57</t>
  </si>
  <si>
    <t>94.12</t>
  </si>
  <si>
    <t>32.00</t>
  </si>
  <si>
    <t>70.83</t>
  </si>
  <si>
    <t>94.44</t>
  </si>
  <si>
    <t>32.69</t>
  </si>
  <si>
    <t>72.00</t>
  </si>
  <si>
    <t>94.74</t>
  </si>
  <si>
    <t>33.96</t>
  </si>
  <si>
    <t>70.37</t>
  </si>
  <si>
    <t>95.00</t>
  </si>
  <si>
    <t>73.08</t>
  </si>
  <si>
    <t>35.19</t>
  </si>
  <si>
    <t>71.43</t>
  </si>
  <si>
    <t>95.24</t>
  </si>
  <si>
    <t>74.07</t>
  </si>
  <si>
    <t>86.96</t>
  </si>
  <si>
    <t>35.71</t>
  </si>
  <si>
    <t>72.41</t>
  </si>
  <si>
    <t>95.45</t>
  </si>
  <si>
    <t>75.00</t>
  </si>
  <si>
    <t>36.84</t>
  </si>
  <si>
    <t>73.33</t>
  </si>
  <si>
    <t>95.65</t>
  </si>
  <si>
    <t>75.86</t>
  </si>
  <si>
    <t>37.93</t>
  </si>
  <si>
    <t>74.19</t>
  </si>
  <si>
    <t>95.83</t>
  </si>
  <si>
    <t>76.67</t>
  </si>
  <si>
    <t>38.98</t>
  </si>
  <si>
    <t>77.42</t>
  </si>
  <si>
    <t>75.76</t>
  </si>
  <si>
    <t>83.33</t>
  </si>
  <si>
    <t>76.47</t>
  </si>
  <si>
    <t>83.87</t>
  </si>
  <si>
    <t>77.14</t>
  </si>
  <si>
    <t>84.37</t>
  </si>
  <si>
    <t>77.78</t>
  </si>
  <si>
    <t>84.85</t>
  </si>
  <si>
    <t>78.38</t>
  </si>
  <si>
    <t>82.86</t>
  </si>
  <si>
    <t>78.95</t>
  </si>
  <si>
    <t>79.49</t>
  </si>
  <si>
    <t>80.00</t>
  </si>
  <si>
    <t>80.49</t>
  </si>
  <si>
    <t>80.95</t>
  </si>
  <si>
    <t>81.40</t>
  </si>
  <si>
    <t>81.82</t>
  </si>
  <si>
    <t>78.26</t>
  </si>
  <si>
    <t>82.22</t>
  </si>
  <si>
    <t>82.61</t>
  </si>
  <si>
    <t>82.98</t>
  </si>
  <si>
    <t>83.67</t>
  </si>
  <si>
    <t>Media</t>
  </si>
  <si>
    <t>metros</t>
  </si>
  <si>
    <t>max</t>
  </si>
  <si>
    <t>min</t>
  </si>
  <si>
    <t>media</t>
  </si>
  <si>
    <t>RTT MIN</t>
  </si>
  <si>
    <t>RTT MAX</t>
  </si>
  <si>
    <t>Lat min</t>
  </si>
  <si>
    <t>Lat max</t>
  </si>
  <si>
    <t>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</si>
</sst>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/>
    </xf>
    <xf borderId="0" fillId="0" fontId="3" numFmtId="0" xfId="0" applyFont="1"/>
    <xf borderId="0" fillId="2" fontId="1" numFmtId="0" xfId="0" applyFill="1" applyFont="1"/>
    <xf borderId="0" fillId="2" fontId="1" numFmtId="3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3" xfId="0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y Latencia promedo en función de la distancia bajo elementos Bluetooth próximos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RTT Promedio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1'!$A$72:$A$81</c:f>
            </c:strRef>
          </c:cat>
          <c:val>
            <c:numRef>
              <c:f>'Hoja 1'!$B$72:$B$81</c:f>
              <c:numCache/>
            </c:numRef>
          </c:val>
          <c:smooth val="0"/>
        </c:ser>
        <c:ser>
          <c:idx val="1"/>
          <c:order val="1"/>
          <c:tx>
            <c:v>Latencia Promedio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1'!$A$72:$A$81</c:f>
            </c:strRef>
          </c:cat>
          <c:val>
            <c:numRef>
              <c:f>'Hoja 1'!$C$72:$C$81</c:f>
              <c:numCache/>
            </c:numRef>
          </c:val>
          <c:smooth val="0"/>
        </c:ser>
        <c:axId val="759869077"/>
        <c:axId val="899189658"/>
      </c:lineChart>
      <c:catAx>
        <c:axId val="759869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(metros)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189658"/>
      </c:catAx>
      <c:valAx>
        <c:axId val="899189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869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en función de la distancia bajo elementos Bluetooth próximos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1'!$J$71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1'!$I$72:$I$81</c:f>
            </c:strRef>
          </c:cat>
          <c:val>
            <c:numRef>
              <c:f>'Hoja 1'!$J$72:$J$81</c:f>
              <c:numCache/>
            </c:numRef>
          </c:val>
          <c:smooth val="0"/>
        </c:ser>
        <c:axId val="1709566939"/>
        <c:axId val="1696907879"/>
      </c:lineChart>
      <c:catAx>
        <c:axId val="1709566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907879"/>
      </c:catAx>
      <c:valAx>
        <c:axId val="1696907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PDR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566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del RTT respecto a la distancia bajo elementos Bluetooth próximos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1'!$A$92:$A$275</c:f>
            </c:numRef>
          </c:xVal>
          <c:yVal>
            <c:numRef>
              <c:f>'Hoja 1'!$C$92:$C$275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52827"/>
        <c:axId val="403333074"/>
      </c:scatterChart>
      <c:valAx>
        <c:axId val="1735652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333074"/>
      </c:valAx>
      <c:valAx>
        <c:axId val="403333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652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571500</xdr:colOff>
      <xdr:row>45</xdr:row>
      <xdr:rowOff>161925</xdr:rowOff>
    </xdr:from>
    <xdr:ext cx="73533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571500</xdr:colOff>
      <xdr:row>65</xdr:row>
      <xdr:rowOff>47625</xdr:rowOff>
    </xdr:from>
    <xdr:ext cx="73533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571500</xdr:colOff>
      <xdr:row>84</xdr:row>
      <xdr:rowOff>133350</xdr:rowOff>
    </xdr:from>
    <xdr:ext cx="7353300" cy="45529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36" width="8.88"/>
  </cols>
  <sheetData>
    <row r="1">
      <c r="A1" s="1" t="s">
        <v>0</v>
      </c>
      <c r="D1" s="1">
        <v>5.0</v>
      </c>
      <c r="G1" s="1">
        <v>10.0</v>
      </c>
      <c r="J1" s="1">
        <v>15.0</v>
      </c>
      <c r="M1" s="1">
        <v>20.0</v>
      </c>
      <c r="P1" s="1">
        <v>30.0</v>
      </c>
      <c r="S1" s="1">
        <v>40.0</v>
      </c>
      <c r="V1" s="1">
        <v>50.0</v>
      </c>
      <c r="Y1" s="1">
        <v>60.0</v>
      </c>
      <c r="AB1" s="1">
        <v>75.0</v>
      </c>
    </row>
    <row r="2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  <c r="G2" s="1" t="s">
        <v>1</v>
      </c>
      <c r="H2" s="1" t="s">
        <v>2</v>
      </c>
      <c r="I2" s="1" t="s">
        <v>3</v>
      </c>
      <c r="J2" s="1" t="s">
        <v>1</v>
      </c>
      <c r="K2" s="1" t="s">
        <v>2</v>
      </c>
      <c r="L2" s="1" t="s">
        <v>3</v>
      </c>
      <c r="M2" s="1" t="s">
        <v>1</v>
      </c>
      <c r="N2" s="1" t="s">
        <v>2</v>
      </c>
      <c r="O2" s="1" t="s">
        <v>3</v>
      </c>
      <c r="P2" s="1" t="s">
        <v>1</v>
      </c>
      <c r="Q2" s="1" t="s">
        <v>2</v>
      </c>
      <c r="R2" s="1" t="s">
        <v>3</v>
      </c>
      <c r="S2" s="1" t="s">
        <v>1</v>
      </c>
      <c r="T2" s="1" t="s">
        <v>2</v>
      </c>
      <c r="U2" s="1" t="s">
        <v>3</v>
      </c>
      <c r="V2" s="1" t="s">
        <v>1</v>
      </c>
      <c r="W2" s="1" t="s">
        <v>2</v>
      </c>
      <c r="X2" s="1" t="s">
        <v>3</v>
      </c>
      <c r="Y2" s="1" t="s">
        <v>1</v>
      </c>
      <c r="Z2" s="1" t="s">
        <v>2</v>
      </c>
      <c r="AA2" s="1" t="s">
        <v>3</v>
      </c>
      <c r="AB2" s="1" t="s">
        <v>1</v>
      </c>
      <c r="AC2" s="1" t="s">
        <v>2</v>
      </c>
      <c r="AD2" s="1" t="s">
        <v>3</v>
      </c>
      <c r="AE2" s="1"/>
      <c r="AF2" s="1"/>
      <c r="AG2" s="1"/>
      <c r="AH2" s="1"/>
      <c r="AI2" s="1"/>
      <c r="AJ2" s="1"/>
    </row>
    <row r="3">
      <c r="A3" s="2">
        <v>31116.0</v>
      </c>
      <c r="B3" s="3">
        <f t="shared" ref="B3:B14" si="1">A3/2</f>
        <v>15558</v>
      </c>
      <c r="C3" s="1">
        <v>100.0</v>
      </c>
      <c r="D3" s="4">
        <v>31151.0</v>
      </c>
      <c r="E3" s="4">
        <v>15575.0</v>
      </c>
      <c r="F3" s="1">
        <v>100.0</v>
      </c>
      <c r="G3" s="2">
        <v>38711.0</v>
      </c>
      <c r="H3" s="3">
        <f t="shared" ref="H3:H14" si="2">G3/2</f>
        <v>19355.5</v>
      </c>
      <c r="I3" s="1">
        <v>100.0</v>
      </c>
      <c r="J3" s="2">
        <v>54893.0</v>
      </c>
      <c r="K3" s="2">
        <v>27446.0</v>
      </c>
      <c r="L3" s="1" t="s">
        <v>4</v>
      </c>
      <c r="M3" s="2">
        <v>31243.0</v>
      </c>
      <c r="N3" s="2">
        <v>15621.0</v>
      </c>
      <c r="O3" s="1" t="s">
        <v>4</v>
      </c>
      <c r="P3" s="2">
        <v>31085.0</v>
      </c>
      <c r="Q3" s="2">
        <v>15542.0</v>
      </c>
      <c r="R3" s="1" t="s">
        <v>4</v>
      </c>
      <c r="S3" s="2">
        <v>50897.0</v>
      </c>
      <c r="T3" s="2">
        <v>25448.0</v>
      </c>
      <c r="U3" s="1" t="s">
        <v>5</v>
      </c>
      <c r="V3" s="2">
        <v>31005.0</v>
      </c>
      <c r="W3" s="2">
        <v>15502.0</v>
      </c>
      <c r="X3" s="1" t="s">
        <v>4</v>
      </c>
      <c r="Y3" s="2">
        <v>35764.0</v>
      </c>
      <c r="Z3" s="2">
        <v>17882.0</v>
      </c>
      <c r="AA3" s="1" t="s">
        <v>6</v>
      </c>
      <c r="AB3" s="2">
        <v>30921.0</v>
      </c>
      <c r="AC3" s="2">
        <v>15460.0</v>
      </c>
      <c r="AD3" s="1" t="s">
        <v>7</v>
      </c>
    </row>
    <row r="4">
      <c r="A4" s="2">
        <v>30022.0</v>
      </c>
      <c r="B4" s="3">
        <f t="shared" si="1"/>
        <v>15011</v>
      </c>
      <c r="D4" s="4">
        <v>30101.0</v>
      </c>
      <c r="E4" s="5">
        <v>15050.0</v>
      </c>
      <c r="G4" s="2">
        <v>31185.0</v>
      </c>
      <c r="H4" s="3">
        <f t="shared" si="2"/>
        <v>15592.5</v>
      </c>
      <c r="J4" s="2">
        <v>32053.0</v>
      </c>
      <c r="K4" s="2">
        <v>16026.0</v>
      </c>
      <c r="L4" s="1" t="s">
        <v>4</v>
      </c>
      <c r="M4" s="2">
        <v>30149.0</v>
      </c>
      <c r="N4" s="2">
        <v>15074.0</v>
      </c>
      <c r="O4" s="1" t="s">
        <v>4</v>
      </c>
      <c r="P4" s="2">
        <v>30056.0</v>
      </c>
      <c r="Q4" s="2">
        <v>15028.0</v>
      </c>
      <c r="R4" s="1" t="s">
        <v>4</v>
      </c>
      <c r="S4" s="2">
        <v>34399.0</v>
      </c>
      <c r="T4" s="2">
        <v>17199.0</v>
      </c>
      <c r="U4" s="1" t="s">
        <v>8</v>
      </c>
      <c r="V4" s="2">
        <v>30083.0</v>
      </c>
      <c r="W4" s="2">
        <v>15041.0</v>
      </c>
      <c r="X4" s="1" t="s">
        <v>4</v>
      </c>
      <c r="Y4" s="2">
        <v>29889.0</v>
      </c>
      <c r="Z4" s="2">
        <v>14944.0</v>
      </c>
      <c r="AA4" s="1" t="s">
        <v>9</v>
      </c>
      <c r="AB4" s="2">
        <v>29793.0</v>
      </c>
      <c r="AC4" s="2">
        <v>14896.0</v>
      </c>
      <c r="AD4" s="1" t="s">
        <v>10</v>
      </c>
    </row>
    <row r="5">
      <c r="A5" s="2">
        <v>30022.0</v>
      </c>
      <c r="B5" s="3">
        <f t="shared" si="1"/>
        <v>15011</v>
      </c>
      <c r="D5" s="4">
        <v>32126.0</v>
      </c>
      <c r="E5" s="5">
        <v>16063.0</v>
      </c>
      <c r="G5" s="2">
        <v>29998.0</v>
      </c>
      <c r="H5" s="3">
        <f t="shared" si="2"/>
        <v>14999</v>
      </c>
      <c r="J5" s="2">
        <v>31287.0</v>
      </c>
      <c r="K5" s="2">
        <v>15643.0</v>
      </c>
      <c r="L5" s="1" t="s">
        <v>4</v>
      </c>
      <c r="M5" s="2">
        <v>31113.0</v>
      </c>
      <c r="N5" s="2">
        <v>15556.0</v>
      </c>
      <c r="O5" s="1" t="s">
        <v>4</v>
      </c>
      <c r="P5" s="2">
        <v>32887.0</v>
      </c>
      <c r="Q5" s="2">
        <v>16443.0</v>
      </c>
      <c r="R5" s="1" t="s">
        <v>4</v>
      </c>
      <c r="S5" s="2">
        <v>33782.0</v>
      </c>
      <c r="T5" s="2">
        <v>16891.0</v>
      </c>
      <c r="U5" s="1" t="s">
        <v>5</v>
      </c>
      <c r="V5" s="2">
        <v>29959.0</v>
      </c>
      <c r="W5" s="2">
        <v>14979.0</v>
      </c>
      <c r="X5" s="1" t="s">
        <v>4</v>
      </c>
      <c r="Y5" s="2">
        <v>32037.0</v>
      </c>
      <c r="Z5" s="2">
        <v>16018.0</v>
      </c>
      <c r="AA5" s="1" t="s">
        <v>11</v>
      </c>
      <c r="AB5" s="2">
        <v>41193.0</v>
      </c>
      <c r="AC5" s="2">
        <v>20596.0</v>
      </c>
      <c r="AD5" s="1" t="s">
        <v>12</v>
      </c>
    </row>
    <row r="6">
      <c r="A6" s="2">
        <v>30068.0</v>
      </c>
      <c r="B6" s="3">
        <f t="shared" si="1"/>
        <v>15034</v>
      </c>
      <c r="D6" s="4">
        <v>30322.0</v>
      </c>
      <c r="E6" s="5">
        <v>15161.0</v>
      </c>
      <c r="G6" s="2">
        <v>32237.0</v>
      </c>
      <c r="H6" s="3">
        <f t="shared" si="2"/>
        <v>16118.5</v>
      </c>
      <c r="J6" s="2">
        <v>31221.0</v>
      </c>
      <c r="K6" s="2">
        <v>15610.0</v>
      </c>
      <c r="L6" s="1" t="s">
        <v>4</v>
      </c>
      <c r="M6" s="2">
        <v>41835.0</v>
      </c>
      <c r="N6" s="2">
        <v>20917.0</v>
      </c>
      <c r="O6" s="1" t="s">
        <v>4</v>
      </c>
      <c r="P6" s="2">
        <v>30384.0</v>
      </c>
      <c r="Q6" s="2">
        <v>15192.0</v>
      </c>
      <c r="R6" s="1" t="s">
        <v>4</v>
      </c>
      <c r="S6" s="2">
        <v>29978.0</v>
      </c>
      <c r="T6" s="2">
        <v>14989.0</v>
      </c>
      <c r="U6" s="1" t="s">
        <v>13</v>
      </c>
      <c r="V6" s="2">
        <v>29924.0</v>
      </c>
      <c r="W6" s="2">
        <v>14962.0</v>
      </c>
      <c r="X6" s="1" t="s">
        <v>4</v>
      </c>
      <c r="Y6" s="2">
        <v>29924.0</v>
      </c>
      <c r="Z6" s="2">
        <v>14962.0</v>
      </c>
      <c r="AA6" s="6" t="s">
        <v>14</v>
      </c>
      <c r="AB6" s="2">
        <v>49786.0</v>
      </c>
      <c r="AC6" s="2">
        <v>24893.0</v>
      </c>
      <c r="AD6" s="1">
        <v>6.15</v>
      </c>
    </row>
    <row r="7">
      <c r="A7" s="2">
        <v>31027.0</v>
      </c>
      <c r="B7" s="3">
        <f t="shared" si="1"/>
        <v>15513.5</v>
      </c>
      <c r="D7" s="4">
        <v>29980.0</v>
      </c>
      <c r="E7" s="5">
        <v>14990.0</v>
      </c>
      <c r="G7" s="2">
        <v>30000.0</v>
      </c>
      <c r="H7" s="3">
        <f t="shared" si="2"/>
        <v>15000</v>
      </c>
      <c r="J7" s="2">
        <v>33377.0</v>
      </c>
      <c r="K7" s="2">
        <v>16688.0</v>
      </c>
      <c r="L7" s="1" t="s">
        <v>15</v>
      </c>
      <c r="M7" s="2">
        <v>36079.0</v>
      </c>
      <c r="N7" s="2">
        <v>18039.0</v>
      </c>
      <c r="O7" s="1" t="s">
        <v>4</v>
      </c>
      <c r="P7" s="2">
        <v>29947.0</v>
      </c>
      <c r="Q7" s="2">
        <v>14973.0</v>
      </c>
      <c r="R7" s="1" t="s">
        <v>4</v>
      </c>
      <c r="S7" s="2">
        <v>29871.0</v>
      </c>
      <c r="T7" s="2">
        <v>14935.0</v>
      </c>
      <c r="U7" s="1" t="s">
        <v>16</v>
      </c>
      <c r="V7" s="2">
        <v>29853.0</v>
      </c>
      <c r="W7" s="2">
        <v>14926.0</v>
      </c>
      <c r="X7" s="1" t="s">
        <v>4</v>
      </c>
      <c r="Y7" s="2">
        <v>29945.0</v>
      </c>
      <c r="Z7" s="2">
        <v>14972.0</v>
      </c>
      <c r="AA7" s="1" t="s">
        <v>17</v>
      </c>
    </row>
    <row r="8">
      <c r="A8" s="2">
        <v>30057.0</v>
      </c>
      <c r="B8" s="3">
        <f t="shared" si="1"/>
        <v>15028.5</v>
      </c>
      <c r="D8" s="4">
        <v>30345.0</v>
      </c>
      <c r="E8" s="5">
        <v>15172.0</v>
      </c>
      <c r="G8" s="2">
        <v>30133.0</v>
      </c>
      <c r="H8" s="3">
        <f t="shared" si="2"/>
        <v>15066.5</v>
      </c>
      <c r="J8" s="2">
        <v>30109.0</v>
      </c>
      <c r="K8" s="2">
        <v>15054.0</v>
      </c>
      <c r="L8" s="1" t="s">
        <v>5</v>
      </c>
      <c r="M8" s="2">
        <v>41448.0</v>
      </c>
      <c r="N8" s="2">
        <v>20724.0</v>
      </c>
      <c r="O8" s="1" t="s">
        <v>18</v>
      </c>
      <c r="P8" s="2">
        <v>30039.0</v>
      </c>
      <c r="Q8" s="2">
        <v>15019.0</v>
      </c>
      <c r="R8" s="1" t="s">
        <v>4</v>
      </c>
      <c r="S8" s="2">
        <v>37672.0</v>
      </c>
      <c r="T8" s="2">
        <v>18836.0</v>
      </c>
      <c r="U8" s="1" t="s">
        <v>19</v>
      </c>
      <c r="V8" s="2">
        <v>30993.0</v>
      </c>
      <c r="W8" s="2">
        <v>15496.0</v>
      </c>
      <c r="X8" s="1" t="s">
        <v>4</v>
      </c>
      <c r="Y8" s="2">
        <v>29873.0</v>
      </c>
      <c r="Z8" s="2">
        <v>14936.0</v>
      </c>
      <c r="AA8" s="1" t="s">
        <v>20</v>
      </c>
    </row>
    <row r="9">
      <c r="A9" s="2">
        <v>30196.0</v>
      </c>
      <c r="B9" s="3">
        <f t="shared" si="1"/>
        <v>15098</v>
      </c>
      <c r="D9" s="4">
        <v>30204.0</v>
      </c>
      <c r="E9" s="5">
        <v>15102.0</v>
      </c>
      <c r="G9" s="2">
        <v>30034.0</v>
      </c>
      <c r="H9" s="3">
        <f t="shared" si="2"/>
        <v>15017</v>
      </c>
      <c r="J9" s="2">
        <v>29966.0</v>
      </c>
      <c r="K9" s="2">
        <v>14983.0</v>
      </c>
      <c r="L9" s="1" t="s">
        <v>21</v>
      </c>
      <c r="M9" s="2">
        <v>57912.0</v>
      </c>
      <c r="N9" s="2">
        <v>28956.0</v>
      </c>
      <c r="O9" s="1" t="s">
        <v>22</v>
      </c>
      <c r="P9" s="2">
        <v>31572.0</v>
      </c>
      <c r="Q9" s="2">
        <v>15786.0</v>
      </c>
      <c r="R9" s="1" t="s">
        <v>4</v>
      </c>
      <c r="S9" s="2">
        <v>45210.0</v>
      </c>
      <c r="T9" s="2">
        <v>22605.0</v>
      </c>
      <c r="U9" s="1" t="s">
        <v>23</v>
      </c>
      <c r="V9" s="2">
        <v>30036.0</v>
      </c>
      <c r="W9" s="2">
        <v>15018.0</v>
      </c>
      <c r="X9" s="1" t="s">
        <v>4</v>
      </c>
      <c r="Y9" s="2">
        <v>29932.0</v>
      </c>
      <c r="Z9" s="2">
        <v>14966.0</v>
      </c>
      <c r="AA9" s="1" t="s">
        <v>24</v>
      </c>
    </row>
    <row r="10">
      <c r="A10" s="2">
        <v>29977.0</v>
      </c>
      <c r="B10" s="3">
        <f t="shared" si="1"/>
        <v>14988.5</v>
      </c>
      <c r="D10" s="4">
        <v>29990.0</v>
      </c>
      <c r="E10" s="5">
        <v>14995.0</v>
      </c>
      <c r="G10" s="2">
        <v>32338.0</v>
      </c>
      <c r="H10" s="3">
        <f t="shared" si="2"/>
        <v>16169</v>
      </c>
      <c r="J10" s="2">
        <v>29951.0</v>
      </c>
      <c r="K10" s="2">
        <v>14975.0</v>
      </c>
      <c r="L10" s="1" t="s">
        <v>25</v>
      </c>
      <c r="M10" s="2">
        <v>35895.0</v>
      </c>
      <c r="N10" s="2">
        <v>17947.0</v>
      </c>
      <c r="O10" s="1" t="s">
        <v>26</v>
      </c>
      <c r="P10" s="2">
        <v>30212.0</v>
      </c>
      <c r="Q10" s="2">
        <v>15106.0</v>
      </c>
      <c r="R10" s="1" t="s">
        <v>4</v>
      </c>
      <c r="S10" s="2">
        <v>30927.0</v>
      </c>
      <c r="T10" s="2">
        <v>15463.0</v>
      </c>
      <c r="U10" s="1" t="s">
        <v>25</v>
      </c>
      <c r="V10" s="2">
        <v>29902.0</v>
      </c>
      <c r="W10" s="2">
        <v>14951.0</v>
      </c>
      <c r="X10" s="1" t="s">
        <v>4</v>
      </c>
      <c r="Y10" s="2">
        <v>29976.0</v>
      </c>
      <c r="Z10" s="2">
        <v>14988.0</v>
      </c>
      <c r="AA10" s="1" t="s">
        <v>27</v>
      </c>
    </row>
    <row r="11">
      <c r="A11" s="2">
        <v>29967.0</v>
      </c>
      <c r="B11" s="3">
        <f t="shared" si="1"/>
        <v>14983.5</v>
      </c>
      <c r="D11" s="4">
        <v>30025.0</v>
      </c>
      <c r="E11" s="5">
        <v>15012.0</v>
      </c>
      <c r="G11" s="2">
        <v>33745.0</v>
      </c>
      <c r="H11" s="3">
        <f t="shared" si="2"/>
        <v>16872.5</v>
      </c>
      <c r="J11" s="2">
        <v>32347.0</v>
      </c>
      <c r="K11" s="2">
        <v>16173.0</v>
      </c>
      <c r="L11" s="1" t="s">
        <v>28</v>
      </c>
      <c r="M11" s="2">
        <v>34145.0</v>
      </c>
      <c r="N11" s="2">
        <v>17072.0</v>
      </c>
      <c r="O11" s="1" t="s">
        <v>29</v>
      </c>
      <c r="P11" s="2">
        <v>31729.0</v>
      </c>
      <c r="Q11" s="2">
        <v>15864.0</v>
      </c>
      <c r="R11" s="1" t="s">
        <v>4</v>
      </c>
      <c r="S11" s="2">
        <v>29945.0</v>
      </c>
      <c r="T11" s="2">
        <v>14972.0</v>
      </c>
      <c r="U11" s="1" t="s">
        <v>28</v>
      </c>
      <c r="V11" s="2">
        <v>29883.0</v>
      </c>
      <c r="W11" s="2">
        <v>14941.0</v>
      </c>
      <c r="X11" s="1" t="s">
        <v>4</v>
      </c>
      <c r="Y11" s="2">
        <v>29878.0</v>
      </c>
      <c r="Z11" s="2">
        <v>14939.0</v>
      </c>
      <c r="AA11" s="1" t="s">
        <v>30</v>
      </c>
    </row>
    <row r="12">
      <c r="A12" s="2">
        <v>34394.0</v>
      </c>
      <c r="B12" s="3">
        <f t="shared" si="1"/>
        <v>17197</v>
      </c>
      <c r="D12" s="4">
        <v>30030.0</v>
      </c>
      <c r="E12" s="5">
        <v>15015.0</v>
      </c>
      <c r="G12" s="2">
        <v>29960.0</v>
      </c>
      <c r="H12" s="3">
        <f t="shared" si="2"/>
        <v>14980</v>
      </c>
      <c r="J12" s="2">
        <v>31865.0</v>
      </c>
      <c r="K12" s="2">
        <v>15932.0</v>
      </c>
      <c r="L12" s="1" t="s">
        <v>31</v>
      </c>
      <c r="M12" s="2">
        <v>30092.0</v>
      </c>
      <c r="N12" s="2">
        <v>15046.0</v>
      </c>
      <c r="O12" s="1" t="s">
        <v>32</v>
      </c>
      <c r="P12" s="2">
        <v>32792.0</v>
      </c>
      <c r="Q12" s="2">
        <v>16396.0</v>
      </c>
      <c r="R12" s="1" t="s">
        <v>4</v>
      </c>
      <c r="S12" s="2">
        <v>30034.0</v>
      </c>
      <c r="T12" s="2">
        <v>15017.0</v>
      </c>
      <c r="U12" s="1" t="s">
        <v>31</v>
      </c>
      <c r="V12" s="2">
        <v>36887.0</v>
      </c>
      <c r="W12" s="2">
        <v>18443.0</v>
      </c>
      <c r="X12" s="1" t="s">
        <v>4</v>
      </c>
      <c r="Y12" s="2">
        <v>30067.0</v>
      </c>
      <c r="Z12" s="2">
        <v>15033.0</v>
      </c>
      <c r="AA12" s="1" t="s">
        <v>33</v>
      </c>
    </row>
    <row r="13">
      <c r="A13" s="2">
        <v>29973.0</v>
      </c>
      <c r="B13" s="3">
        <f t="shared" si="1"/>
        <v>14986.5</v>
      </c>
      <c r="D13" s="4">
        <v>32792.0</v>
      </c>
      <c r="E13" s="5">
        <v>16396.0</v>
      </c>
      <c r="G13" s="2">
        <v>31129.0</v>
      </c>
      <c r="H13" s="3">
        <f t="shared" si="2"/>
        <v>15564.5</v>
      </c>
      <c r="J13" s="2">
        <v>30066.0</v>
      </c>
      <c r="K13" s="2">
        <v>15033.0</v>
      </c>
      <c r="L13" s="1" t="s">
        <v>34</v>
      </c>
      <c r="M13" s="2">
        <v>37317.0</v>
      </c>
      <c r="N13" s="2">
        <v>18658.0</v>
      </c>
      <c r="O13" s="1" t="s">
        <v>35</v>
      </c>
      <c r="P13" s="2">
        <v>30183.0</v>
      </c>
      <c r="Q13" s="2">
        <v>15091.0</v>
      </c>
      <c r="R13" s="1" t="s">
        <v>4</v>
      </c>
      <c r="S13" s="2">
        <v>29882.0</v>
      </c>
      <c r="T13" s="2">
        <v>14941.0</v>
      </c>
      <c r="U13" s="1" t="s">
        <v>34</v>
      </c>
      <c r="V13" s="2">
        <v>31101.0</v>
      </c>
      <c r="W13" s="2">
        <v>15550.0</v>
      </c>
      <c r="X13" s="1" t="s">
        <v>4</v>
      </c>
      <c r="Y13" s="2">
        <v>31538.0</v>
      </c>
      <c r="Z13" s="2">
        <v>15769.0</v>
      </c>
      <c r="AA13" s="1" t="s">
        <v>36</v>
      </c>
    </row>
    <row r="14">
      <c r="A14" s="2">
        <v>31083.0</v>
      </c>
      <c r="B14" s="3">
        <f t="shared" si="1"/>
        <v>15541.5</v>
      </c>
      <c r="D14" s="4">
        <v>30078.0</v>
      </c>
      <c r="E14" s="5">
        <v>15039.0</v>
      </c>
      <c r="G14" s="2">
        <v>34645.0</v>
      </c>
      <c r="H14" s="3">
        <f t="shared" si="2"/>
        <v>17322.5</v>
      </c>
      <c r="J14" s="2">
        <v>30066.0</v>
      </c>
      <c r="K14" s="2">
        <v>15033.0</v>
      </c>
      <c r="L14" s="1" t="s">
        <v>37</v>
      </c>
      <c r="M14" s="2">
        <v>40951.0</v>
      </c>
      <c r="N14" s="2">
        <v>20475.0</v>
      </c>
      <c r="O14" s="1" t="s">
        <v>38</v>
      </c>
      <c r="P14" s="2">
        <v>29947.0</v>
      </c>
      <c r="Q14" s="2">
        <v>14973.0</v>
      </c>
      <c r="R14" s="1" t="s">
        <v>4</v>
      </c>
      <c r="S14" s="2">
        <v>32165.0</v>
      </c>
      <c r="T14" s="2">
        <v>16082.0</v>
      </c>
      <c r="U14" s="1" t="s">
        <v>37</v>
      </c>
      <c r="V14" s="2">
        <v>32937.0</v>
      </c>
      <c r="W14" s="2">
        <v>16468.0</v>
      </c>
      <c r="X14" s="1" t="s">
        <v>4</v>
      </c>
      <c r="Y14" s="2">
        <v>29901.0</v>
      </c>
      <c r="Z14" s="2">
        <v>14950.0</v>
      </c>
      <c r="AA14" s="6" t="s">
        <v>39</v>
      </c>
    </row>
    <row r="15">
      <c r="J15" s="2">
        <v>32805.0</v>
      </c>
      <c r="K15" s="2">
        <v>16402.0</v>
      </c>
      <c r="L15" s="1" t="s">
        <v>40</v>
      </c>
      <c r="M15" s="2">
        <v>78064.0</v>
      </c>
      <c r="N15" s="2">
        <v>39032.0</v>
      </c>
      <c r="O15" s="1" t="s">
        <v>41</v>
      </c>
      <c r="P15" s="2">
        <v>30139.0</v>
      </c>
      <c r="Q15" s="2">
        <v>15069.0</v>
      </c>
      <c r="R15" s="1" t="s">
        <v>4</v>
      </c>
      <c r="S15" s="2">
        <v>33841.0</v>
      </c>
      <c r="T15" s="2">
        <v>16920.0</v>
      </c>
      <c r="U15" s="1" t="s">
        <v>40</v>
      </c>
      <c r="V15" s="2">
        <v>29846.0</v>
      </c>
      <c r="W15" s="2">
        <v>14923.0</v>
      </c>
      <c r="X15" s="1" t="s">
        <v>4</v>
      </c>
      <c r="Y15" s="2">
        <v>29968.0</v>
      </c>
      <c r="Z15" s="2">
        <v>14984.0</v>
      </c>
      <c r="AA15" s="1" t="s">
        <v>42</v>
      </c>
    </row>
    <row r="16">
      <c r="J16" s="2">
        <v>30193.0</v>
      </c>
      <c r="K16" s="2">
        <v>15096.0</v>
      </c>
      <c r="L16" s="1" t="s">
        <v>19</v>
      </c>
      <c r="M16" s="2">
        <v>30108.0</v>
      </c>
      <c r="N16" s="2">
        <v>15054.0</v>
      </c>
      <c r="O16" s="1" t="s">
        <v>43</v>
      </c>
      <c r="P16" s="2">
        <v>32188.0</v>
      </c>
      <c r="Q16" s="2">
        <v>16094.0</v>
      </c>
      <c r="R16" s="1" t="s">
        <v>4</v>
      </c>
      <c r="S16" s="2">
        <v>31965.0</v>
      </c>
      <c r="T16" s="2">
        <v>15982.0</v>
      </c>
      <c r="U16" s="1" t="s">
        <v>19</v>
      </c>
      <c r="V16" s="2">
        <v>32961.0</v>
      </c>
      <c r="W16" s="2">
        <v>16480.0</v>
      </c>
      <c r="X16" s="1" t="s">
        <v>4</v>
      </c>
      <c r="Y16" s="2">
        <v>29922.0</v>
      </c>
      <c r="Z16" s="2">
        <v>14961.0</v>
      </c>
      <c r="AA16" s="1" t="s">
        <v>44</v>
      </c>
    </row>
    <row r="17">
      <c r="J17" s="2">
        <v>29940.0</v>
      </c>
      <c r="K17" s="2">
        <v>14970.0</v>
      </c>
      <c r="L17" s="1" t="s">
        <v>45</v>
      </c>
      <c r="M17" s="2">
        <v>34093.0</v>
      </c>
      <c r="N17" s="2">
        <v>17046.0</v>
      </c>
      <c r="O17" s="1" t="s">
        <v>46</v>
      </c>
      <c r="P17" s="2">
        <v>29869.0</v>
      </c>
      <c r="Q17" s="2">
        <v>14934.0</v>
      </c>
      <c r="R17" s="1" t="s">
        <v>4</v>
      </c>
      <c r="S17" s="2">
        <v>30915.0</v>
      </c>
      <c r="T17" s="2">
        <v>15457.0</v>
      </c>
      <c r="U17" s="1" t="s">
        <v>45</v>
      </c>
      <c r="V17" s="2">
        <v>39756.0</v>
      </c>
      <c r="W17" s="2">
        <v>19878.0</v>
      </c>
      <c r="X17" s="1" t="s">
        <v>4</v>
      </c>
      <c r="Y17" s="2">
        <v>29911.0</v>
      </c>
      <c r="Z17" s="2">
        <v>14955.0</v>
      </c>
      <c r="AA17" s="1" t="s">
        <v>47</v>
      </c>
    </row>
    <row r="18">
      <c r="E18" s="7"/>
      <c r="J18" s="2">
        <v>34241.0</v>
      </c>
      <c r="K18" s="2">
        <v>17120.0</v>
      </c>
      <c r="L18" s="1" t="s">
        <v>48</v>
      </c>
      <c r="M18" s="2">
        <v>32024.0</v>
      </c>
      <c r="N18" s="2">
        <v>16012.0</v>
      </c>
      <c r="O18" s="1" t="s">
        <v>49</v>
      </c>
      <c r="P18" s="2">
        <v>31933.0</v>
      </c>
      <c r="Q18" s="2">
        <v>15966.0</v>
      </c>
      <c r="R18" s="1" t="s">
        <v>4</v>
      </c>
      <c r="S18" s="2">
        <v>31939.0</v>
      </c>
      <c r="T18" s="2">
        <v>15969.0</v>
      </c>
      <c r="U18" s="1" t="s">
        <v>48</v>
      </c>
      <c r="V18" s="2">
        <v>67761.0</v>
      </c>
      <c r="W18" s="2">
        <v>33880.0</v>
      </c>
      <c r="X18" s="1" t="s">
        <v>4</v>
      </c>
      <c r="Y18" s="2">
        <v>29880.0</v>
      </c>
      <c r="Z18" s="2">
        <v>14940.0</v>
      </c>
      <c r="AA18" s="1" t="s">
        <v>50</v>
      </c>
    </row>
    <row r="19">
      <c r="J19" s="2">
        <v>30036.0</v>
      </c>
      <c r="K19" s="2">
        <v>15018.0</v>
      </c>
      <c r="L19" s="1" t="s">
        <v>51</v>
      </c>
      <c r="M19" s="2">
        <v>39385.0</v>
      </c>
      <c r="N19" s="2">
        <v>19692.0</v>
      </c>
      <c r="O19" s="1" t="s">
        <v>52</v>
      </c>
      <c r="P19" s="2">
        <v>29997.0</v>
      </c>
      <c r="Q19" s="2">
        <v>14998.0</v>
      </c>
      <c r="R19" s="1" t="s">
        <v>4</v>
      </c>
      <c r="S19" s="2">
        <v>36715.0</v>
      </c>
      <c r="T19" s="2">
        <v>18357.0</v>
      </c>
      <c r="U19" s="1" t="s">
        <v>51</v>
      </c>
      <c r="V19" s="2">
        <v>34350.0</v>
      </c>
      <c r="W19" s="2">
        <v>17175.0</v>
      </c>
      <c r="X19" s="1" t="s">
        <v>4</v>
      </c>
      <c r="Y19" s="2">
        <v>29785.0</v>
      </c>
      <c r="Z19" s="2">
        <v>14892.0</v>
      </c>
      <c r="AA19" s="1" t="s">
        <v>53</v>
      </c>
    </row>
    <row r="20">
      <c r="J20" s="2">
        <v>31097.0</v>
      </c>
      <c r="K20" s="2">
        <v>15548.0</v>
      </c>
      <c r="L20" s="1" t="s">
        <v>54</v>
      </c>
      <c r="M20" s="2">
        <v>30746.0</v>
      </c>
      <c r="N20" s="2">
        <v>15373.0</v>
      </c>
      <c r="O20" s="1" t="s">
        <v>55</v>
      </c>
      <c r="P20" s="2">
        <v>29933.0</v>
      </c>
      <c r="Q20" s="2">
        <v>14966.0</v>
      </c>
      <c r="R20" s="1" t="s">
        <v>4</v>
      </c>
      <c r="S20" s="2">
        <v>30012.0</v>
      </c>
      <c r="T20" s="2">
        <v>15006.0</v>
      </c>
      <c r="U20" s="1" t="s">
        <v>54</v>
      </c>
      <c r="V20" s="2">
        <v>33698.0</v>
      </c>
      <c r="W20" s="2">
        <v>16849.0</v>
      </c>
      <c r="X20" s="1" t="s">
        <v>4</v>
      </c>
      <c r="Y20" s="2">
        <v>31022.0</v>
      </c>
      <c r="Z20" s="2">
        <v>15511.0</v>
      </c>
      <c r="AA20" s="1" t="s">
        <v>56</v>
      </c>
    </row>
    <row r="21">
      <c r="J21" s="2">
        <v>35666.0</v>
      </c>
      <c r="K21" s="2">
        <v>17833.0</v>
      </c>
      <c r="L21" s="1" t="s">
        <v>57</v>
      </c>
      <c r="M21" s="2">
        <v>31913.0</v>
      </c>
      <c r="N21" s="2">
        <v>15956.0</v>
      </c>
      <c r="O21" s="1" t="s">
        <v>58</v>
      </c>
      <c r="P21" s="2">
        <v>32100.0</v>
      </c>
      <c r="Q21" s="2">
        <v>16050.0</v>
      </c>
      <c r="R21" s="1" t="s">
        <v>4</v>
      </c>
      <c r="S21" s="2">
        <v>29943.0</v>
      </c>
      <c r="T21" s="2">
        <v>14971.0</v>
      </c>
      <c r="U21" s="1" t="s">
        <v>59</v>
      </c>
      <c r="V21" s="2">
        <v>33179.0</v>
      </c>
      <c r="W21" s="2">
        <v>16589.0</v>
      </c>
      <c r="X21" s="1" t="s">
        <v>4</v>
      </c>
      <c r="Y21" s="2">
        <v>29979.0</v>
      </c>
      <c r="Z21" s="2">
        <v>14989.0</v>
      </c>
      <c r="AA21" s="1" t="s">
        <v>60</v>
      </c>
    </row>
    <row r="22">
      <c r="J22" s="2">
        <v>30943.0</v>
      </c>
      <c r="K22" s="2">
        <v>15471.0</v>
      </c>
      <c r="L22" s="1" t="s">
        <v>61</v>
      </c>
      <c r="M22" s="2">
        <v>30018.0</v>
      </c>
      <c r="N22" s="2">
        <v>15009.0</v>
      </c>
      <c r="O22" s="1" t="s">
        <v>62</v>
      </c>
      <c r="P22" s="2">
        <v>29844.0</v>
      </c>
      <c r="Q22" s="2">
        <v>14922.0</v>
      </c>
      <c r="R22" s="1" t="s">
        <v>4</v>
      </c>
      <c r="S22" s="2">
        <v>29884.0</v>
      </c>
      <c r="T22" s="2">
        <v>14942.0</v>
      </c>
      <c r="U22" s="1" t="s">
        <v>63</v>
      </c>
      <c r="V22" s="2">
        <v>31748.0</v>
      </c>
      <c r="W22" s="2">
        <v>15874.0</v>
      </c>
      <c r="X22" s="1" t="s">
        <v>64</v>
      </c>
      <c r="Y22" s="2">
        <v>29886.0</v>
      </c>
      <c r="Z22" s="2">
        <v>14943.0</v>
      </c>
      <c r="AA22" s="1" t="s">
        <v>65</v>
      </c>
    </row>
    <row r="23">
      <c r="J23" s="2">
        <v>32011.0</v>
      </c>
      <c r="K23" s="2">
        <v>16005.0</v>
      </c>
      <c r="L23" s="1" t="s">
        <v>66</v>
      </c>
      <c r="M23" s="2">
        <v>30176.0</v>
      </c>
      <c r="N23" s="2">
        <v>15088.0</v>
      </c>
      <c r="O23" s="1" t="s">
        <v>67</v>
      </c>
      <c r="P23" s="2">
        <v>40131.0</v>
      </c>
      <c r="Q23" s="2">
        <v>20065.0</v>
      </c>
      <c r="R23" s="1" t="s">
        <v>4</v>
      </c>
      <c r="S23" s="2">
        <v>36249.0</v>
      </c>
      <c r="T23" s="2">
        <v>18124.0</v>
      </c>
      <c r="U23" s="1" t="s">
        <v>68</v>
      </c>
      <c r="V23" s="2">
        <v>29916.0</v>
      </c>
      <c r="W23" s="2">
        <v>14958.0</v>
      </c>
      <c r="X23" s="1" t="s">
        <v>66</v>
      </c>
      <c r="Y23" s="2">
        <v>29955.0</v>
      </c>
      <c r="Z23" s="2">
        <v>14977.0</v>
      </c>
      <c r="AA23" s="1" t="s">
        <v>69</v>
      </c>
    </row>
    <row r="24">
      <c r="J24" s="2">
        <v>30083.0</v>
      </c>
      <c r="K24" s="2">
        <v>15041.0</v>
      </c>
      <c r="L24" s="1" t="s">
        <v>70</v>
      </c>
      <c r="M24" s="2">
        <v>32162.0</v>
      </c>
      <c r="N24" s="2">
        <v>16081.0</v>
      </c>
      <c r="O24" s="1" t="s">
        <v>71</v>
      </c>
      <c r="P24" s="2">
        <v>29974.0</v>
      </c>
      <c r="Q24" s="2">
        <v>14987.0</v>
      </c>
      <c r="R24" s="1" t="s">
        <v>4</v>
      </c>
      <c r="S24" s="2">
        <v>29983.0</v>
      </c>
      <c r="T24" s="2">
        <v>14991.0</v>
      </c>
      <c r="U24" s="1" t="s">
        <v>72</v>
      </c>
      <c r="V24" s="2">
        <v>57396.0</v>
      </c>
      <c r="W24" s="2">
        <v>28698.0</v>
      </c>
      <c r="X24" s="1" t="s">
        <v>70</v>
      </c>
      <c r="Y24" s="2">
        <v>30983.0</v>
      </c>
      <c r="Z24" s="2">
        <v>15491.0</v>
      </c>
      <c r="AA24" s="1" t="s">
        <v>73</v>
      </c>
    </row>
    <row r="25">
      <c r="J25" s="2">
        <v>43198.0</v>
      </c>
      <c r="K25" s="2">
        <v>21599.0</v>
      </c>
      <c r="L25" s="1" t="s">
        <v>74</v>
      </c>
      <c r="M25" s="2">
        <v>31205.0</v>
      </c>
      <c r="N25" s="2">
        <v>15602.0</v>
      </c>
      <c r="O25" s="1" t="s">
        <v>75</v>
      </c>
      <c r="P25" s="2">
        <v>29930.0</v>
      </c>
      <c r="Q25" s="2">
        <v>14965.0</v>
      </c>
      <c r="R25" s="1" t="s">
        <v>4</v>
      </c>
      <c r="S25" s="2">
        <v>31951.0</v>
      </c>
      <c r="T25" s="2">
        <v>15975.0</v>
      </c>
      <c r="U25" s="1" t="s">
        <v>76</v>
      </c>
      <c r="V25" s="2">
        <v>29936.0</v>
      </c>
      <c r="W25" s="2">
        <v>14968.0</v>
      </c>
      <c r="X25" s="1" t="s">
        <v>74</v>
      </c>
      <c r="Y25" s="2">
        <v>29936.0</v>
      </c>
      <c r="Z25" s="2">
        <v>14968.0</v>
      </c>
      <c r="AA25" s="1" t="s">
        <v>77</v>
      </c>
    </row>
    <row r="26">
      <c r="A26" s="8"/>
      <c r="B26" s="8"/>
      <c r="C26" s="8"/>
      <c r="D26" s="8"/>
      <c r="E26" s="8"/>
      <c r="F26" s="8"/>
      <c r="G26" s="8"/>
      <c r="H26" s="8"/>
      <c r="I26" s="8"/>
      <c r="J26" s="9">
        <v>33127.0</v>
      </c>
      <c r="K26" s="9">
        <v>16563.0</v>
      </c>
      <c r="L26" s="10" t="s">
        <v>68</v>
      </c>
      <c r="M26" s="9">
        <v>53715.0</v>
      </c>
      <c r="N26" s="9">
        <v>26857.0</v>
      </c>
      <c r="O26" s="10" t="s">
        <v>38</v>
      </c>
      <c r="P26" s="9">
        <v>29961.0</v>
      </c>
      <c r="Q26" s="9">
        <v>14980.0</v>
      </c>
      <c r="R26" s="10" t="s">
        <v>4</v>
      </c>
      <c r="S26" s="9">
        <v>45668.0</v>
      </c>
      <c r="T26" s="9">
        <v>22834.0</v>
      </c>
      <c r="U26" s="10" t="s">
        <v>78</v>
      </c>
      <c r="V26" s="9">
        <v>30000.0</v>
      </c>
      <c r="W26" s="9">
        <v>15000.0</v>
      </c>
      <c r="X26" s="10">
        <v>75.0</v>
      </c>
      <c r="Y26" s="9">
        <v>31839.0</v>
      </c>
      <c r="Z26" s="9">
        <v>15919.0</v>
      </c>
      <c r="AA26" s="10" t="s">
        <v>8</v>
      </c>
      <c r="AB26" s="8"/>
      <c r="AC26" s="8"/>
      <c r="AD26" s="8"/>
      <c r="AE26" s="8"/>
      <c r="AF26" s="8"/>
      <c r="AG26" s="8"/>
      <c r="AH26" s="8"/>
      <c r="AI26" s="8"/>
      <c r="AJ26" s="8"/>
    </row>
    <row r="27">
      <c r="J27" s="2">
        <v>30399.0</v>
      </c>
      <c r="K27" s="2">
        <v>15199.0</v>
      </c>
      <c r="L27" s="1" t="s">
        <v>79</v>
      </c>
      <c r="M27" s="2">
        <v>32974.0</v>
      </c>
      <c r="N27" s="2">
        <v>16487.0</v>
      </c>
      <c r="O27" s="1" t="s">
        <v>80</v>
      </c>
      <c r="P27" s="2">
        <v>29970.0</v>
      </c>
      <c r="Q27" s="2">
        <v>14985.0</v>
      </c>
      <c r="R27" s="1" t="s">
        <v>4</v>
      </c>
      <c r="S27" s="2">
        <v>34805.0</v>
      </c>
      <c r="T27" s="2">
        <v>17402.0</v>
      </c>
      <c r="U27" s="1" t="s">
        <v>79</v>
      </c>
      <c r="Y27" s="2">
        <v>29833.0</v>
      </c>
      <c r="Z27" s="2">
        <v>14916.0</v>
      </c>
      <c r="AA27" s="1">
        <v>39.68</v>
      </c>
    </row>
    <row r="28">
      <c r="J28" s="2">
        <v>29983.0</v>
      </c>
      <c r="K28" s="2">
        <v>14991.0</v>
      </c>
      <c r="L28" s="1" t="s">
        <v>81</v>
      </c>
      <c r="M28" s="2">
        <v>31004.0</v>
      </c>
      <c r="N28" s="2">
        <v>15502.0</v>
      </c>
      <c r="O28" s="1" t="s">
        <v>82</v>
      </c>
      <c r="P28" s="2">
        <v>29873.0</v>
      </c>
      <c r="Q28" s="2">
        <v>14936.0</v>
      </c>
      <c r="R28" s="1" t="s">
        <v>4</v>
      </c>
      <c r="S28" s="2">
        <v>30833.0</v>
      </c>
      <c r="T28" s="2">
        <v>15416.0</v>
      </c>
      <c r="U28" s="1" t="s">
        <v>81</v>
      </c>
    </row>
    <row r="29">
      <c r="J29" s="2">
        <v>33981.0</v>
      </c>
      <c r="K29" s="2">
        <v>16990.0</v>
      </c>
      <c r="L29" s="1" t="s">
        <v>83</v>
      </c>
      <c r="M29" s="2">
        <v>42989.0</v>
      </c>
      <c r="N29" s="2">
        <v>21494.0</v>
      </c>
      <c r="O29" s="1" t="s">
        <v>84</v>
      </c>
      <c r="P29" s="2">
        <v>29989.0</v>
      </c>
      <c r="Q29" s="2">
        <v>14994.0</v>
      </c>
      <c r="R29" s="1" t="s">
        <v>4</v>
      </c>
      <c r="S29" s="2">
        <v>30961.0</v>
      </c>
      <c r="T29" s="2">
        <v>15480.0</v>
      </c>
      <c r="U29" s="1" t="s">
        <v>83</v>
      </c>
    </row>
    <row r="30">
      <c r="J30" s="2">
        <v>30115.0</v>
      </c>
      <c r="K30" s="2">
        <v>15057.0</v>
      </c>
      <c r="L30" s="1" t="s">
        <v>85</v>
      </c>
      <c r="M30" s="2">
        <v>45668.0</v>
      </c>
      <c r="N30" s="2">
        <v>22834.0</v>
      </c>
      <c r="O30" s="1" t="s">
        <v>86</v>
      </c>
      <c r="P30" s="2">
        <v>32125.0</v>
      </c>
      <c r="Q30" s="2">
        <v>16062.0</v>
      </c>
      <c r="R30" s="1" t="s">
        <v>4</v>
      </c>
      <c r="S30" s="2">
        <v>29924.0</v>
      </c>
      <c r="T30" s="2">
        <v>14962.0</v>
      </c>
      <c r="U30" s="1" t="s">
        <v>85</v>
      </c>
    </row>
    <row r="31">
      <c r="J31" s="2">
        <v>30050.0</v>
      </c>
      <c r="K31" s="2">
        <v>15025.0</v>
      </c>
      <c r="L31" s="1" t="s">
        <v>87</v>
      </c>
      <c r="M31" s="2">
        <v>32565.0</v>
      </c>
      <c r="N31" s="2">
        <v>16282.0</v>
      </c>
      <c r="O31" s="1" t="s">
        <v>88</v>
      </c>
      <c r="P31" s="2">
        <v>32923.0</v>
      </c>
      <c r="Q31" s="2">
        <v>16461.0</v>
      </c>
      <c r="R31" s="1" t="s">
        <v>4</v>
      </c>
      <c r="S31" s="2">
        <v>29961.0</v>
      </c>
      <c r="T31" s="2">
        <v>14980.0</v>
      </c>
      <c r="U31" s="1" t="s">
        <v>87</v>
      </c>
    </row>
    <row r="32">
      <c r="J32" s="2">
        <v>30304.0</v>
      </c>
      <c r="K32" s="2">
        <v>15152.0</v>
      </c>
      <c r="L32" s="1" t="s">
        <v>89</v>
      </c>
      <c r="M32" s="2">
        <v>45011.0</v>
      </c>
      <c r="N32" s="2">
        <v>22505.0</v>
      </c>
      <c r="O32" s="1" t="s">
        <v>80</v>
      </c>
      <c r="P32" s="2">
        <v>45945.0</v>
      </c>
      <c r="Q32" s="2">
        <v>22972.0</v>
      </c>
      <c r="R32" s="1" t="s">
        <v>4</v>
      </c>
      <c r="S32" s="2">
        <v>30869.0</v>
      </c>
      <c r="T32" s="2">
        <v>15434.0</v>
      </c>
      <c r="U32" s="1" t="s">
        <v>89</v>
      </c>
    </row>
    <row r="33">
      <c r="J33" s="2">
        <v>30094.0</v>
      </c>
      <c r="K33" s="2">
        <v>15047.0</v>
      </c>
      <c r="L33" s="1" t="s">
        <v>90</v>
      </c>
      <c r="M33" s="2">
        <v>30809.0</v>
      </c>
      <c r="N33" s="2">
        <v>15404.0</v>
      </c>
      <c r="O33" s="1">
        <v>79.49</v>
      </c>
      <c r="P33" s="2">
        <v>30374.0</v>
      </c>
      <c r="Q33" s="2">
        <v>15187.0</v>
      </c>
      <c r="R33" s="1" t="s">
        <v>4</v>
      </c>
      <c r="S33" s="2">
        <v>32951.0</v>
      </c>
      <c r="T33" s="2">
        <v>16475.0</v>
      </c>
      <c r="U33" s="1" t="s">
        <v>90</v>
      </c>
    </row>
    <row r="34">
      <c r="J34" s="2">
        <v>32001.0</v>
      </c>
      <c r="K34" s="2">
        <v>16000.0</v>
      </c>
      <c r="L34" s="1" t="s">
        <v>91</v>
      </c>
      <c r="P34" s="2">
        <v>35758.0</v>
      </c>
      <c r="Q34" s="2">
        <v>17879.0</v>
      </c>
      <c r="R34" s="1" t="s">
        <v>4</v>
      </c>
      <c r="S34" s="2">
        <v>35225.0</v>
      </c>
      <c r="T34" s="2">
        <v>17612.0</v>
      </c>
      <c r="U34" s="1" t="s">
        <v>91</v>
      </c>
    </row>
    <row r="35">
      <c r="J35" s="2">
        <v>30081.0</v>
      </c>
      <c r="K35" s="2">
        <v>15040.0</v>
      </c>
      <c r="L35" s="1" t="s">
        <v>92</v>
      </c>
      <c r="P35" s="2">
        <v>30161.0</v>
      </c>
      <c r="Q35" s="2">
        <v>15080.0</v>
      </c>
      <c r="R35" s="1">
        <v>100.0</v>
      </c>
      <c r="S35" s="2">
        <v>35875.0</v>
      </c>
      <c r="T35" s="2">
        <v>17937.0</v>
      </c>
      <c r="U35" s="1" t="s">
        <v>92</v>
      </c>
    </row>
    <row r="36">
      <c r="J36" s="2">
        <v>29943.0</v>
      </c>
      <c r="K36" s="2">
        <v>14971.0</v>
      </c>
      <c r="L36" s="1" t="s">
        <v>93</v>
      </c>
      <c r="S36" s="2">
        <v>43565.0</v>
      </c>
      <c r="T36" s="2">
        <v>21782.0</v>
      </c>
      <c r="U36" s="1" t="s">
        <v>93</v>
      </c>
    </row>
    <row r="37">
      <c r="J37" s="2">
        <v>30058.0</v>
      </c>
      <c r="K37" s="2">
        <v>15029.0</v>
      </c>
      <c r="L37" s="1" t="s">
        <v>94</v>
      </c>
      <c r="S37" s="2">
        <v>36083.0</v>
      </c>
      <c r="T37" s="2">
        <v>18041.0</v>
      </c>
      <c r="U37" s="1" t="s">
        <v>94</v>
      </c>
    </row>
    <row r="38">
      <c r="J38" s="2">
        <v>32534.0</v>
      </c>
      <c r="K38" s="2">
        <v>16267.0</v>
      </c>
      <c r="L38" s="1" t="s">
        <v>95</v>
      </c>
      <c r="S38" s="2">
        <v>45394.0</v>
      </c>
      <c r="T38" s="2">
        <v>22697.0</v>
      </c>
      <c r="U38" s="1" t="s">
        <v>96</v>
      </c>
    </row>
    <row r="39">
      <c r="J39" s="2">
        <v>33852.0</v>
      </c>
      <c r="K39" s="2">
        <v>16926.0</v>
      </c>
      <c r="L39" s="1" t="s">
        <v>97</v>
      </c>
      <c r="S39" s="2">
        <v>46796.0</v>
      </c>
      <c r="T39" s="2">
        <v>23398.0</v>
      </c>
      <c r="U39" s="1">
        <v>78.72</v>
      </c>
    </row>
    <row r="40">
      <c r="J40" s="2">
        <v>30018.0</v>
      </c>
      <c r="K40" s="2">
        <v>15009.0</v>
      </c>
      <c r="L40" s="1" t="s">
        <v>98</v>
      </c>
    </row>
    <row r="41">
      <c r="J41" s="2">
        <v>30138.0</v>
      </c>
      <c r="K41" s="2">
        <v>15069.0</v>
      </c>
      <c r="L41" s="1" t="s">
        <v>99</v>
      </c>
    </row>
    <row r="42">
      <c r="J42" s="2">
        <v>32112.0</v>
      </c>
      <c r="K42" s="2">
        <v>16056.0</v>
      </c>
      <c r="L42" s="1" t="s">
        <v>80</v>
      </c>
    </row>
    <row r="43">
      <c r="J43" s="2">
        <v>38542.0</v>
      </c>
      <c r="K43" s="2">
        <v>19271.0</v>
      </c>
      <c r="L43" s="1" t="s">
        <v>100</v>
      </c>
    </row>
    <row r="44">
      <c r="J44" s="2">
        <v>38588.0</v>
      </c>
      <c r="K44" s="2">
        <v>19294.0</v>
      </c>
      <c r="L44" s="1">
        <v>84.0</v>
      </c>
    </row>
    <row r="46">
      <c r="A46" s="1" t="s">
        <v>101</v>
      </c>
    </row>
    <row r="47">
      <c r="A47" s="1" t="s">
        <v>102</v>
      </c>
      <c r="B47" s="1">
        <v>1.0</v>
      </c>
      <c r="C47" s="1">
        <v>5.0</v>
      </c>
      <c r="D47" s="1">
        <v>10.0</v>
      </c>
      <c r="E47" s="1">
        <v>15.0</v>
      </c>
      <c r="F47" s="1">
        <v>20.0</v>
      </c>
      <c r="G47" s="1">
        <v>30.0</v>
      </c>
      <c r="H47" s="1">
        <v>40.0</v>
      </c>
      <c r="I47" s="1">
        <v>50.0</v>
      </c>
      <c r="J47" s="1">
        <v>60.0</v>
      </c>
      <c r="K47" s="1">
        <v>75.0</v>
      </c>
    </row>
    <row r="48">
      <c r="A48" s="1" t="s">
        <v>1</v>
      </c>
      <c r="B48" s="11">
        <f>AVERAGE(A3:A14)</f>
        <v>30658.5</v>
      </c>
      <c r="C48" s="11">
        <f>AVERAGE(D3:D14)</f>
        <v>30595.33333</v>
      </c>
      <c r="D48" s="11">
        <f>AVERAGE(G3:G14)</f>
        <v>32009.58333</v>
      </c>
      <c r="E48" s="11">
        <f>AVERAGE(J3:J26)</f>
        <v>32939.20833</v>
      </c>
      <c r="F48" s="11">
        <f>AVERAGE(M3:M26)</f>
        <v>37574.5</v>
      </c>
      <c r="G48" s="11">
        <f>AVERAGE(P3:P26)</f>
        <v>31118</v>
      </c>
      <c r="H48" s="11">
        <f>AVERAGE(S3:S26)</f>
        <v>33909.45833</v>
      </c>
      <c r="I48" s="11">
        <f>AVERAGE(V3:V26)</f>
        <v>34296.25</v>
      </c>
      <c r="J48" s="11">
        <f>AVERAGE(Y3:Y26)</f>
        <v>30491.25</v>
      </c>
      <c r="K48" s="11">
        <f>AVERAGE(AB3:AB6)</f>
        <v>37923.25</v>
      </c>
    </row>
    <row r="49">
      <c r="A49" s="1" t="s">
        <v>2</v>
      </c>
      <c r="B49" s="3">
        <f>AVERAGE(B3:B14)</f>
        <v>15329.25</v>
      </c>
      <c r="C49" s="11">
        <f>AVERAGE(E3:E14)</f>
        <v>15297.5</v>
      </c>
      <c r="D49" s="3">
        <f>AVERAGE(H3:H14)</f>
        <v>16004.79167</v>
      </c>
      <c r="E49" s="11">
        <f>AVERAGE(K3:K26)</f>
        <v>16469.25</v>
      </c>
      <c r="F49" s="11">
        <f>AVERAGE(N3:N26)</f>
        <v>18786.95833</v>
      </c>
      <c r="G49" s="11">
        <f>AVERAGE(Q3:Q26)</f>
        <v>15558.70833</v>
      </c>
      <c r="H49" s="11">
        <f>AVERAGE(T3:T26)</f>
        <v>16954.41667</v>
      </c>
      <c r="I49" s="11">
        <f>AVERAGE(W3:W26)</f>
        <v>17147.875</v>
      </c>
      <c r="J49" s="11">
        <f>AVERAGE(Z3:Z26)</f>
        <v>15245.375</v>
      </c>
      <c r="K49" s="11">
        <f>AVERAGE(AC3:AC6)</f>
        <v>18961.25</v>
      </c>
    </row>
    <row r="50">
      <c r="A50" s="1" t="s">
        <v>103</v>
      </c>
      <c r="B50" s="11">
        <f>MAX(A3:A14)</f>
        <v>34394</v>
      </c>
      <c r="C50" s="2">
        <f>MAX(D3:D14)</f>
        <v>32792</v>
      </c>
      <c r="D50" s="11">
        <f>MAX(G3:G14)</f>
        <v>38711</v>
      </c>
      <c r="E50" s="11">
        <f>MAX(J3:J26)</f>
        <v>54893</v>
      </c>
      <c r="F50" s="11">
        <f>MAX(M3:M26)</f>
        <v>78064</v>
      </c>
      <c r="G50" s="11">
        <f>MAX(P3:P26)</f>
        <v>40131</v>
      </c>
      <c r="H50" s="11">
        <f>MAX(S3:S26)</f>
        <v>50897</v>
      </c>
      <c r="I50" s="11">
        <f>MAX(V3:V26)</f>
        <v>67761</v>
      </c>
      <c r="J50" s="11">
        <f>MAX(Y3:Y26)</f>
        <v>35764</v>
      </c>
      <c r="K50" s="11">
        <f>MAX(AB3:AB6)</f>
        <v>49786</v>
      </c>
    </row>
    <row r="51">
      <c r="A51" s="1" t="s">
        <v>104</v>
      </c>
      <c r="B51" s="11">
        <f>MIN(A3:A14)</f>
        <v>29967</v>
      </c>
      <c r="C51" s="11">
        <f>MIN(D3:D14)</f>
        <v>29980</v>
      </c>
      <c r="D51" s="11">
        <f>MIN(G3:G14)</f>
        <v>29960</v>
      </c>
      <c r="E51" s="11">
        <f>MIN(J3:J26)</f>
        <v>29940</v>
      </c>
      <c r="F51" s="11">
        <f>MIN(M3:M26)</f>
        <v>30018</v>
      </c>
      <c r="G51" s="11">
        <f>MIN(P3:P26)</f>
        <v>29844</v>
      </c>
      <c r="H51" s="11">
        <f>MIN(S3:S26)</f>
        <v>29871</v>
      </c>
      <c r="I51" s="11">
        <f>MIN(V3:V26)</f>
        <v>29846</v>
      </c>
      <c r="J51" s="11">
        <f>MIN(Y3:Y26)</f>
        <v>29785</v>
      </c>
      <c r="K51" s="11">
        <f>MIN(AB3:AB6)</f>
        <v>29793</v>
      </c>
    </row>
    <row r="52">
      <c r="A52" s="1" t="s">
        <v>101</v>
      </c>
    </row>
    <row r="53">
      <c r="A53" s="1" t="s">
        <v>102</v>
      </c>
      <c r="B53" s="1">
        <v>1.0</v>
      </c>
      <c r="C53" s="1">
        <v>5.0</v>
      </c>
      <c r="D53" s="1">
        <v>10.0</v>
      </c>
      <c r="E53" s="1">
        <v>15.0</v>
      </c>
      <c r="F53" s="1">
        <v>20.0</v>
      </c>
      <c r="G53" s="1">
        <v>30.0</v>
      </c>
      <c r="H53" s="1">
        <v>40.0</v>
      </c>
      <c r="I53" s="1">
        <v>50.0</v>
      </c>
      <c r="J53" s="1">
        <v>60.0</v>
      </c>
      <c r="K53" s="1">
        <v>75.0</v>
      </c>
    </row>
    <row r="54">
      <c r="A54" s="1" t="s">
        <v>1</v>
      </c>
      <c r="B54" s="3">
        <f t="shared" ref="B54:K54" si="3">B48/1000</f>
        <v>30.6585</v>
      </c>
      <c r="C54" s="3">
        <f t="shared" si="3"/>
        <v>30.59533333</v>
      </c>
      <c r="D54" s="3">
        <f t="shared" si="3"/>
        <v>32.00958333</v>
      </c>
      <c r="E54" s="3">
        <f t="shared" si="3"/>
        <v>32.93920833</v>
      </c>
      <c r="F54" s="3">
        <f t="shared" si="3"/>
        <v>37.5745</v>
      </c>
      <c r="G54" s="3">
        <f t="shared" si="3"/>
        <v>31.118</v>
      </c>
      <c r="H54" s="3">
        <f t="shared" si="3"/>
        <v>33.90945833</v>
      </c>
      <c r="I54" s="3">
        <f t="shared" si="3"/>
        <v>34.29625</v>
      </c>
      <c r="J54" s="3">
        <f t="shared" si="3"/>
        <v>30.49125</v>
      </c>
      <c r="K54" s="3">
        <f t="shared" si="3"/>
        <v>37.92325</v>
      </c>
    </row>
    <row r="55">
      <c r="A55" s="1" t="s">
        <v>2</v>
      </c>
      <c r="B55" s="3">
        <f t="shared" ref="B55:K55" si="4">B49/1000</f>
        <v>15.32925</v>
      </c>
      <c r="C55" s="3">
        <f t="shared" si="4"/>
        <v>15.2975</v>
      </c>
      <c r="D55" s="3">
        <f t="shared" si="4"/>
        <v>16.00479167</v>
      </c>
      <c r="E55" s="3">
        <f t="shared" si="4"/>
        <v>16.46925</v>
      </c>
      <c r="F55" s="3">
        <f t="shared" si="4"/>
        <v>18.78695833</v>
      </c>
      <c r="G55" s="3">
        <f t="shared" si="4"/>
        <v>15.55870833</v>
      </c>
      <c r="H55" s="3">
        <f t="shared" si="4"/>
        <v>16.95441667</v>
      </c>
      <c r="I55" s="3">
        <f t="shared" si="4"/>
        <v>17.147875</v>
      </c>
      <c r="J55" s="3">
        <f t="shared" si="4"/>
        <v>15.245375</v>
      </c>
      <c r="K55" s="3">
        <f t="shared" si="4"/>
        <v>18.96125</v>
      </c>
    </row>
    <row r="70">
      <c r="A70" s="1" t="s">
        <v>105</v>
      </c>
    </row>
    <row r="71">
      <c r="A71" s="1" t="s">
        <v>102</v>
      </c>
      <c r="B71" s="1" t="s">
        <v>1</v>
      </c>
      <c r="C71" s="1" t="s">
        <v>2</v>
      </c>
      <c r="D71" s="1" t="s">
        <v>106</v>
      </c>
      <c r="E71" s="1" t="s">
        <v>107</v>
      </c>
      <c r="F71" s="1" t="s">
        <v>108</v>
      </c>
      <c r="G71" s="1" t="s">
        <v>109</v>
      </c>
      <c r="I71" s="1" t="s">
        <v>102</v>
      </c>
      <c r="J71" s="1" t="s">
        <v>3</v>
      </c>
    </row>
    <row r="72">
      <c r="A72" s="1">
        <v>1.0</v>
      </c>
      <c r="B72" s="3">
        <f>B48/1000</f>
        <v>30.6585</v>
      </c>
      <c r="C72" s="3">
        <f>B49/1000</f>
        <v>15.32925</v>
      </c>
      <c r="D72" s="3">
        <f>B51/1000</f>
        <v>29.967</v>
      </c>
      <c r="E72" s="3">
        <f>B50/1000</f>
        <v>34.394</v>
      </c>
      <c r="F72" s="3">
        <f t="shared" ref="F72:G72" si="5">D72/2</f>
        <v>14.9835</v>
      </c>
      <c r="G72" s="3">
        <f t="shared" si="5"/>
        <v>17.197</v>
      </c>
      <c r="I72" s="1">
        <v>1.0</v>
      </c>
      <c r="J72" s="12">
        <f>C3</f>
        <v>100</v>
      </c>
    </row>
    <row r="73">
      <c r="A73" s="1">
        <v>5.0</v>
      </c>
      <c r="B73" s="3">
        <f>C48/1000</f>
        <v>30.59533333</v>
      </c>
      <c r="C73" s="3">
        <f>C49/1000</f>
        <v>15.2975</v>
      </c>
      <c r="D73" s="3">
        <f>C51/1000</f>
        <v>29.98</v>
      </c>
      <c r="E73" s="3">
        <f>C50/1000</f>
        <v>32.792</v>
      </c>
      <c r="F73" s="3">
        <f t="shared" ref="F73:G73" si="6">D73/2</f>
        <v>14.99</v>
      </c>
      <c r="G73" s="3">
        <f t="shared" si="6"/>
        <v>16.396</v>
      </c>
      <c r="I73" s="1">
        <v>5.0</v>
      </c>
      <c r="J73" s="12">
        <f>F3</f>
        <v>100</v>
      </c>
    </row>
    <row r="74">
      <c r="A74" s="1">
        <v>10.0</v>
      </c>
      <c r="B74" s="3">
        <f>D48/1000</f>
        <v>32.00958333</v>
      </c>
      <c r="C74" s="3">
        <f>D49/1000</f>
        <v>16.00479167</v>
      </c>
      <c r="D74" s="1">
        <f>D51/1000</f>
        <v>29.96</v>
      </c>
      <c r="E74" s="3">
        <f>D50/1000</f>
        <v>38.711</v>
      </c>
      <c r="F74" s="3">
        <f t="shared" ref="F74:G74" si="7">D74/2</f>
        <v>14.98</v>
      </c>
      <c r="G74" s="3">
        <f t="shared" si="7"/>
        <v>19.3555</v>
      </c>
      <c r="I74" s="1">
        <v>10.0</v>
      </c>
      <c r="J74" s="12">
        <f>I3</f>
        <v>100</v>
      </c>
    </row>
    <row r="75">
      <c r="A75" s="1">
        <v>15.0</v>
      </c>
      <c r="B75" s="3">
        <f>E48/1000</f>
        <v>32.93920833</v>
      </c>
      <c r="C75" s="3">
        <f>E49/1000</f>
        <v>16.46925</v>
      </c>
      <c r="D75" s="3">
        <f>E51/1000</f>
        <v>29.94</v>
      </c>
      <c r="E75" s="3">
        <f>E50/1000</f>
        <v>54.893</v>
      </c>
      <c r="F75" s="3">
        <f t="shared" ref="F75:G75" si="8">D75/2</f>
        <v>14.97</v>
      </c>
      <c r="G75" s="3">
        <f t="shared" si="8"/>
        <v>27.4465</v>
      </c>
      <c r="I75" s="1">
        <v>15.0</v>
      </c>
      <c r="J75" s="12">
        <f>L44</f>
        <v>84</v>
      </c>
    </row>
    <row r="76">
      <c r="A76" s="1">
        <v>20.0</v>
      </c>
      <c r="B76" s="3">
        <f>F48/1000</f>
        <v>37.5745</v>
      </c>
      <c r="C76" s="3">
        <f>F49/1000</f>
        <v>18.78695833</v>
      </c>
      <c r="D76" s="3">
        <f>F51/1000</f>
        <v>30.018</v>
      </c>
      <c r="E76" s="3">
        <f>F50/1000</f>
        <v>78.064</v>
      </c>
      <c r="F76" s="3">
        <f t="shared" ref="F76:G76" si="9">D76/2</f>
        <v>15.009</v>
      </c>
      <c r="G76" s="3">
        <f t="shared" si="9"/>
        <v>39.032</v>
      </c>
      <c r="I76" s="1">
        <v>20.0</v>
      </c>
      <c r="J76" s="12">
        <f>O33</f>
        <v>79.49</v>
      </c>
    </row>
    <row r="77">
      <c r="A77" s="1">
        <v>30.0</v>
      </c>
      <c r="B77" s="3">
        <f>G48/1000</f>
        <v>31.118</v>
      </c>
      <c r="C77" s="3">
        <f>G49/1000</f>
        <v>15.55870833</v>
      </c>
      <c r="D77" s="3">
        <f>G51/1000</f>
        <v>29.844</v>
      </c>
      <c r="E77" s="3">
        <f>G50/1000</f>
        <v>40.131</v>
      </c>
      <c r="F77" s="3">
        <f t="shared" ref="F77:G77" si="10">D77/2</f>
        <v>14.922</v>
      </c>
      <c r="G77" s="3">
        <f t="shared" si="10"/>
        <v>20.0655</v>
      </c>
      <c r="I77" s="1">
        <v>30.0</v>
      </c>
      <c r="J77" s="12">
        <f>R35</f>
        <v>100</v>
      </c>
    </row>
    <row r="78">
      <c r="A78" s="1">
        <v>40.0</v>
      </c>
      <c r="B78" s="3">
        <f>H48/1000</f>
        <v>33.90945833</v>
      </c>
      <c r="C78" s="3">
        <f>H49/1000</f>
        <v>16.95441667</v>
      </c>
      <c r="D78" s="3">
        <f>H51/1000</f>
        <v>29.871</v>
      </c>
      <c r="E78" s="3">
        <f>H50/1000</f>
        <v>50.897</v>
      </c>
      <c r="F78" s="3">
        <f t="shared" ref="F78:G78" si="11">D78/2</f>
        <v>14.9355</v>
      </c>
      <c r="G78" s="3">
        <f t="shared" si="11"/>
        <v>25.4485</v>
      </c>
      <c r="I78" s="1">
        <v>40.0</v>
      </c>
      <c r="J78" s="12">
        <f>U39</f>
        <v>78.72</v>
      </c>
    </row>
    <row r="79">
      <c r="A79" s="1">
        <v>50.0</v>
      </c>
      <c r="B79" s="3">
        <f>I48/1000</f>
        <v>34.29625</v>
      </c>
      <c r="C79" s="3">
        <f>I49/1000</f>
        <v>17.147875</v>
      </c>
      <c r="D79" s="3">
        <f>I51/1000</f>
        <v>29.846</v>
      </c>
      <c r="E79" s="3">
        <f>I50/1000</f>
        <v>67.761</v>
      </c>
      <c r="F79" s="3">
        <f t="shared" ref="F79:G79" si="12">D79/2</f>
        <v>14.923</v>
      </c>
      <c r="G79" s="3">
        <f t="shared" si="12"/>
        <v>33.8805</v>
      </c>
      <c r="I79" s="1">
        <v>50.0</v>
      </c>
      <c r="J79" s="13">
        <f>X26</f>
        <v>75</v>
      </c>
    </row>
    <row r="80">
      <c r="A80" s="1">
        <v>60.0</v>
      </c>
      <c r="B80" s="3">
        <f>J48/1000</f>
        <v>30.49125</v>
      </c>
      <c r="C80" s="3">
        <f>J49/1000</f>
        <v>15.245375</v>
      </c>
      <c r="D80" s="3">
        <f>J51/1000</f>
        <v>29.785</v>
      </c>
      <c r="E80" s="3">
        <f>J50/1000</f>
        <v>35.764</v>
      </c>
      <c r="F80" s="3">
        <f t="shared" ref="F80:G80" si="13">D80/2</f>
        <v>14.8925</v>
      </c>
      <c r="G80" s="3">
        <f t="shared" si="13"/>
        <v>17.882</v>
      </c>
      <c r="I80" s="1">
        <v>60.0</v>
      </c>
      <c r="J80" s="12">
        <f>AA27</f>
        <v>39.68</v>
      </c>
    </row>
    <row r="81">
      <c r="A81" s="1">
        <v>75.0</v>
      </c>
      <c r="B81" s="3">
        <f>K48/1000</f>
        <v>37.92325</v>
      </c>
      <c r="C81" s="3">
        <f>K49/1000</f>
        <v>18.96125</v>
      </c>
      <c r="D81" s="3">
        <f>K51/1000</f>
        <v>29.793</v>
      </c>
      <c r="E81" s="3">
        <f>K50/1000</f>
        <v>49.786</v>
      </c>
      <c r="F81" s="3">
        <f t="shared" ref="F81:G81" si="14">D81/2</f>
        <v>14.8965</v>
      </c>
      <c r="G81" s="3">
        <f t="shared" si="14"/>
        <v>24.893</v>
      </c>
      <c r="I81" s="1">
        <v>75.0</v>
      </c>
      <c r="J81" s="12">
        <f>AD6</f>
        <v>6.15</v>
      </c>
    </row>
    <row r="91">
      <c r="A91" s="1" t="s">
        <v>102</v>
      </c>
      <c r="B91" s="1" t="s">
        <v>110</v>
      </c>
      <c r="C91" s="1" t="s">
        <v>1</v>
      </c>
    </row>
    <row r="92">
      <c r="A92" s="1">
        <v>1.0</v>
      </c>
      <c r="B92" s="2">
        <v>31116.0</v>
      </c>
      <c r="C92" s="3">
        <f t="shared" ref="C92:C275" si="15">B92/1000</f>
        <v>31.116</v>
      </c>
    </row>
    <row r="93">
      <c r="A93" s="1">
        <v>1.0</v>
      </c>
      <c r="B93" s="2">
        <v>30022.0</v>
      </c>
      <c r="C93" s="3">
        <f t="shared" si="15"/>
        <v>30.022</v>
      </c>
    </row>
    <row r="94">
      <c r="A94" s="1">
        <v>1.0</v>
      </c>
      <c r="B94" s="2">
        <v>30022.0</v>
      </c>
      <c r="C94" s="3">
        <f t="shared" si="15"/>
        <v>30.022</v>
      </c>
    </row>
    <row r="95">
      <c r="A95" s="1">
        <v>1.0</v>
      </c>
      <c r="B95" s="2">
        <v>30068.0</v>
      </c>
      <c r="C95" s="3">
        <f t="shared" si="15"/>
        <v>30.068</v>
      </c>
    </row>
    <row r="96">
      <c r="A96" s="1">
        <v>1.0</v>
      </c>
      <c r="B96" s="2">
        <v>31027.0</v>
      </c>
      <c r="C96" s="3">
        <f t="shared" si="15"/>
        <v>31.027</v>
      </c>
    </row>
    <row r="97">
      <c r="A97" s="1">
        <v>1.0</v>
      </c>
      <c r="B97" s="2">
        <v>30057.0</v>
      </c>
      <c r="C97" s="3">
        <f t="shared" si="15"/>
        <v>30.057</v>
      </c>
    </row>
    <row r="98">
      <c r="A98" s="1">
        <v>1.0</v>
      </c>
      <c r="B98" s="2">
        <v>30196.0</v>
      </c>
      <c r="C98" s="3">
        <f t="shared" si="15"/>
        <v>30.196</v>
      </c>
    </row>
    <row r="99">
      <c r="A99" s="1">
        <v>1.0</v>
      </c>
      <c r="B99" s="2">
        <v>29977.0</v>
      </c>
      <c r="C99" s="3">
        <f t="shared" si="15"/>
        <v>29.977</v>
      </c>
    </row>
    <row r="100">
      <c r="A100" s="1">
        <v>1.0</v>
      </c>
      <c r="B100" s="2">
        <v>29967.0</v>
      </c>
      <c r="C100" s="3">
        <f t="shared" si="15"/>
        <v>29.967</v>
      </c>
    </row>
    <row r="101">
      <c r="A101" s="1">
        <v>1.0</v>
      </c>
      <c r="B101" s="2">
        <v>34394.0</v>
      </c>
      <c r="C101" s="3">
        <f t="shared" si="15"/>
        <v>34.394</v>
      </c>
    </row>
    <row r="102">
      <c r="A102" s="1">
        <v>1.0</v>
      </c>
      <c r="B102" s="2">
        <v>29973.0</v>
      </c>
      <c r="C102" s="3">
        <f t="shared" si="15"/>
        <v>29.973</v>
      </c>
    </row>
    <row r="103">
      <c r="A103" s="1">
        <v>1.0</v>
      </c>
      <c r="B103" s="2">
        <v>31083.0</v>
      </c>
      <c r="C103" s="3">
        <f t="shared" si="15"/>
        <v>31.083</v>
      </c>
    </row>
    <row r="104">
      <c r="A104" s="1">
        <v>5.0</v>
      </c>
      <c r="B104" s="4">
        <v>31151.0</v>
      </c>
      <c r="C104" s="3">
        <f t="shared" si="15"/>
        <v>31.151</v>
      </c>
    </row>
    <row r="105">
      <c r="A105" s="1">
        <v>5.0</v>
      </c>
      <c r="B105" s="4">
        <v>30101.0</v>
      </c>
      <c r="C105" s="3">
        <f t="shared" si="15"/>
        <v>30.101</v>
      </c>
    </row>
    <row r="106">
      <c r="A106" s="1">
        <v>5.0</v>
      </c>
      <c r="B106" s="4">
        <v>32126.0</v>
      </c>
      <c r="C106" s="3">
        <f t="shared" si="15"/>
        <v>32.126</v>
      </c>
    </row>
    <row r="107">
      <c r="A107" s="1">
        <v>5.0</v>
      </c>
      <c r="B107" s="4">
        <v>30322.0</v>
      </c>
      <c r="C107" s="3">
        <f t="shared" si="15"/>
        <v>30.322</v>
      </c>
    </row>
    <row r="108">
      <c r="A108" s="1">
        <v>5.0</v>
      </c>
      <c r="B108" s="4">
        <v>29980.0</v>
      </c>
      <c r="C108" s="3">
        <f t="shared" si="15"/>
        <v>29.98</v>
      </c>
    </row>
    <row r="109">
      <c r="A109" s="1">
        <v>5.0</v>
      </c>
      <c r="B109" s="4">
        <v>30345.0</v>
      </c>
      <c r="C109" s="3">
        <f t="shared" si="15"/>
        <v>30.345</v>
      </c>
    </row>
    <row r="110">
      <c r="A110" s="1">
        <v>5.0</v>
      </c>
      <c r="B110" s="4">
        <v>30204.0</v>
      </c>
      <c r="C110" s="3">
        <f t="shared" si="15"/>
        <v>30.204</v>
      </c>
    </row>
    <row r="111">
      <c r="A111" s="1">
        <v>5.0</v>
      </c>
      <c r="B111" s="4">
        <v>29990.0</v>
      </c>
      <c r="C111" s="3">
        <f t="shared" si="15"/>
        <v>29.99</v>
      </c>
    </row>
    <row r="112">
      <c r="A112" s="1">
        <v>5.0</v>
      </c>
      <c r="B112" s="4">
        <v>30025.0</v>
      </c>
      <c r="C112" s="3">
        <f t="shared" si="15"/>
        <v>30.025</v>
      </c>
    </row>
    <row r="113">
      <c r="A113" s="1">
        <v>5.0</v>
      </c>
      <c r="B113" s="4">
        <v>30030.0</v>
      </c>
      <c r="C113" s="3">
        <f t="shared" si="15"/>
        <v>30.03</v>
      </c>
    </row>
    <row r="114">
      <c r="A114" s="1">
        <v>5.0</v>
      </c>
      <c r="B114" s="4">
        <v>32792.0</v>
      </c>
      <c r="C114" s="3">
        <f t="shared" si="15"/>
        <v>32.792</v>
      </c>
    </row>
    <row r="115">
      <c r="A115" s="1">
        <v>5.0</v>
      </c>
      <c r="B115" s="4">
        <v>30078.0</v>
      </c>
      <c r="C115" s="3">
        <f t="shared" si="15"/>
        <v>30.078</v>
      </c>
    </row>
    <row r="116">
      <c r="A116" s="1">
        <v>10.0</v>
      </c>
      <c r="B116" s="2">
        <v>38711.0</v>
      </c>
      <c r="C116" s="3">
        <f t="shared" si="15"/>
        <v>38.711</v>
      </c>
    </row>
    <row r="117">
      <c r="A117" s="1">
        <v>10.0</v>
      </c>
      <c r="B117" s="2">
        <v>31185.0</v>
      </c>
      <c r="C117" s="3">
        <f t="shared" si="15"/>
        <v>31.185</v>
      </c>
    </row>
    <row r="118">
      <c r="A118" s="1">
        <v>10.0</v>
      </c>
      <c r="B118" s="2">
        <v>29998.0</v>
      </c>
      <c r="C118" s="3">
        <f t="shared" si="15"/>
        <v>29.998</v>
      </c>
    </row>
    <row r="119">
      <c r="A119" s="1">
        <v>10.0</v>
      </c>
      <c r="B119" s="2">
        <v>32237.0</v>
      </c>
      <c r="C119" s="3">
        <f t="shared" si="15"/>
        <v>32.237</v>
      </c>
    </row>
    <row r="120">
      <c r="A120" s="1">
        <v>10.0</v>
      </c>
      <c r="B120" s="2">
        <v>30000.0</v>
      </c>
      <c r="C120" s="3">
        <f t="shared" si="15"/>
        <v>30</v>
      </c>
    </row>
    <row r="121">
      <c r="A121" s="1">
        <v>10.0</v>
      </c>
      <c r="B121" s="2">
        <v>30133.0</v>
      </c>
      <c r="C121" s="3">
        <f t="shared" si="15"/>
        <v>30.133</v>
      </c>
    </row>
    <row r="122">
      <c r="A122" s="1">
        <v>10.0</v>
      </c>
      <c r="B122" s="2">
        <v>30034.0</v>
      </c>
      <c r="C122" s="3">
        <f t="shared" si="15"/>
        <v>30.034</v>
      </c>
    </row>
    <row r="123">
      <c r="A123" s="1">
        <v>10.0</v>
      </c>
      <c r="B123" s="2">
        <v>32338.0</v>
      </c>
      <c r="C123" s="3">
        <f t="shared" si="15"/>
        <v>32.338</v>
      </c>
    </row>
    <row r="124">
      <c r="A124" s="1">
        <v>10.0</v>
      </c>
      <c r="B124" s="2">
        <v>33745.0</v>
      </c>
      <c r="C124" s="3">
        <f t="shared" si="15"/>
        <v>33.745</v>
      </c>
    </row>
    <row r="125">
      <c r="A125" s="1">
        <v>10.0</v>
      </c>
      <c r="B125" s="2">
        <v>29960.0</v>
      </c>
      <c r="C125" s="3">
        <f t="shared" si="15"/>
        <v>29.96</v>
      </c>
    </row>
    <row r="126">
      <c r="A126" s="1">
        <v>10.0</v>
      </c>
      <c r="B126" s="2">
        <v>31129.0</v>
      </c>
      <c r="C126" s="3">
        <f t="shared" si="15"/>
        <v>31.129</v>
      </c>
    </row>
    <row r="127">
      <c r="A127" s="1">
        <v>10.0</v>
      </c>
      <c r="B127" s="2">
        <v>34645.0</v>
      </c>
      <c r="C127" s="3">
        <f t="shared" si="15"/>
        <v>34.645</v>
      </c>
    </row>
    <row r="128">
      <c r="A128" s="1">
        <v>15.0</v>
      </c>
      <c r="B128" s="2">
        <v>54893.0</v>
      </c>
      <c r="C128" s="3">
        <f t="shared" si="15"/>
        <v>54.893</v>
      </c>
    </row>
    <row r="129">
      <c r="A129" s="1">
        <v>15.0</v>
      </c>
      <c r="B129" s="2">
        <v>32053.0</v>
      </c>
      <c r="C129" s="3">
        <f t="shared" si="15"/>
        <v>32.053</v>
      </c>
    </row>
    <row r="130">
      <c r="A130" s="1">
        <v>15.0</v>
      </c>
      <c r="B130" s="2">
        <v>31287.0</v>
      </c>
      <c r="C130" s="3">
        <f t="shared" si="15"/>
        <v>31.287</v>
      </c>
    </row>
    <row r="131">
      <c r="A131" s="1">
        <v>15.0</v>
      </c>
      <c r="B131" s="2">
        <v>31221.0</v>
      </c>
      <c r="C131" s="3">
        <f t="shared" si="15"/>
        <v>31.221</v>
      </c>
    </row>
    <row r="132">
      <c r="A132" s="1">
        <v>15.0</v>
      </c>
      <c r="B132" s="2">
        <v>33377.0</v>
      </c>
      <c r="C132" s="3">
        <f t="shared" si="15"/>
        <v>33.377</v>
      </c>
    </row>
    <row r="133">
      <c r="A133" s="1">
        <v>15.0</v>
      </c>
      <c r="B133" s="2">
        <v>30109.0</v>
      </c>
      <c r="C133" s="3">
        <f t="shared" si="15"/>
        <v>30.109</v>
      </c>
    </row>
    <row r="134">
      <c r="A134" s="1">
        <v>15.0</v>
      </c>
      <c r="B134" s="2">
        <v>29966.0</v>
      </c>
      <c r="C134" s="3">
        <f t="shared" si="15"/>
        <v>29.966</v>
      </c>
    </row>
    <row r="135">
      <c r="A135" s="1">
        <v>15.0</v>
      </c>
      <c r="B135" s="2">
        <v>29951.0</v>
      </c>
      <c r="C135" s="3">
        <f t="shared" si="15"/>
        <v>29.951</v>
      </c>
    </row>
    <row r="136">
      <c r="A136" s="1">
        <v>15.0</v>
      </c>
      <c r="B136" s="2">
        <v>32347.0</v>
      </c>
      <c r="C136" s="3">
        <f t="shared" si="15"/>
        <v>32.347</v>
      </c>
    </row>
    <row r="137">
      <c r="A137" s="1">
        <v>15.0</v>
      </c>
      <c r="B137" s="2">
        <v>31865.0</v>
      </c>
      <c r="C137" s="3">
        <f t="shared" si="15"/>
        <v>31.865</v>
      </c>
    </row>
    <row r="138">
      <c r="A138" s="1">
        <v>15.0</v>
      </c>
      <c r="B138" s="2">
        <v>30066.0</v>
      </c>
      <c r="C138" s="3">
        <f t="shared" si="15"/>
        <v>30.066</v>
      </c>
    </row>
    <row r="139">
      <c r="A139" s="1">
        <v>15.0</v>
      </c>
      <c r="B139" s="2">
        <v>30066.0</v>
      </c>
      <c r="C139" s="3">
        <f t="shared" si="15"/>
        <v>30.066</v>
      </c>
    </row>
    <row r="140">
      <c r="A140" s="1">
        <v>15.0</v>
      </c>
      <c r="B140" s="2">
        <v>32805.0</v>
      </c>
      <c r="C140" s="3">
        <f t="shared" si="15"/>
        <v>32.805</v>
      </c>
    </row>
    <row r="141">
      <c r="A141" s="1">
        <v>15.0</v>
      </c>
      <c r="B141" s="2">
        <v>30193.0</v>
      </c>
      <c r="C141" s="3">
        <f t="shared" si="15"/>
        <v>30.193</v>
      </c>
    </row>
    <row r="142">
      <c r="A142" s="1">
        <v>15.0</v>
      </c>
      <c r="B142" s="2">
        <v>29940.0</v>
      </c>
      <c r="C142" s="3">
        <f t="shared" si="15"/>
        <v>29.94</v>
      </c>
    </row>
    <row r="143">
      <c r="A143" s="1">
        <v>15.0</v>
      </c>
      <c r="B143" s="2">
        <v>34241.0</v>
      </c>
      <c r="C143" s="3">
        <f t="shared" si="15"/>
        <v>34.241</v>
      </c>
    </row>
    <row r="144">
      <c r="A144" s="1">
        <v>15.0</v>
      </c>
      <c r="B144" s="2">
        <v>30036.0</v>
      </c>
      <c r="C144" s="3">
        <f t="shared" si="15"/>
        <v>30.036</v>
      </c>
    </row>
    <row r="145">
      <c r="A145" s="1">
        <v>15.0</v>
      </c>
      <c r="B145" s="2">
        <v>31097.0</v>
      </c>
      <c r="C145" s="3">
        <f t="shared" si="15"/>
        <v>31.097</v>
      </c>
    </row>
    <row r="146">
      <c r="A146" s="1">
        <v>15.0</v>
      </c>
      <c r="B146" s="2">
        <v>35666.0</v>
      </c>
      <c r="C146" s="3">
        <f t="shared" si="15"/>
        <v>35.666</v>
      </c>
    </row>
    <row r="147">
      <c r="A147" s="1">
        <v>15.0</v>
      </c>
      <c r="B147" s="2">
        <v>30943.0</v>
      </c>
      <c r="C147" s="3">
        <f t="shared" si="15"/>
        <v>30.943</v>
      </c>
    </row>
    <row r="148">
      <c r="A148" s="1">
        <v>15.0</v>
      </c>
      <c r="B148" s="2">
        <v>32011.0</v>
      </c>
      <c r="C148" s="3">
        <f t="shared" si="15"/>
        <v>32.011</v>
      </c>
    </row>
    <row r="149">
      <c r="A149" s="1">
        <v>15.0</v>
      </c>
      <c r="B149" s="2">
        <v>30083.0</v>
      </c>
      <c r="C149" s="3">
        <f t="shared" si="15"/>
        <v>30.083</v>
      </c>
    </row>
    <row r="150">
      <c r="A150" s="1">
        <v>15.0</v>
      </c>
      <c r="B150" s="2">
        <v>43198.0</v>
      </c>
      <c r="C150" s="3">
        <f t="shared" si="15"/>
        <v>43.198</v>
      </c>
    </row>
    <row r="151">
      <c r="A151" s="1">
        <v>15.0</v>
      </c>
      <c r="B151" s="9">
        <v>33127.0</v>
      </c>
      <c r="C151" s="3">
        <f t="shared" si="15"/>
        <v>33.127</v>
      </c>
    </row>
    <row r="152">
      <c r="A152" s="1">
        <v>20.0</v>
      </c>
      <c r="B152" s="2">
        <v>31243.0</v>
      </c>
      <c r="C152" s="3">
        <f t="shared" si="15"/>
        <v>31.243</v>
      </c>
    </row>
    <row r="153">
      <c r="A153" s="1">
        <v>20.0</v>
      </c>
      <c r="B153" s="2">
        <v>30149.0</v>
      </c>
      <c r="C153" s="3">
        <f t="shared" si="15"/>
        <v>30.149</v>
      </c>
    </row>
    <row r="154">
      <c r="A154" s="1">
        <v>20.0</v>
      </c>
      <c r="B154" s="2">
        <v>31113.0</v>
      </c>
      <c r="C154" s="3">
        <f t="shared" si="15"/>
        <v>31.113</v>
      </c>
    </row>
    <row r="155">
      <c r="A155" s="1">
        <v>20.0</v>
      </c>
      <c r="B155" s="2">
        <v>41835.0</v>
      </c>
      <c r="C155" s="3">
        <f t="shared" si="15"/>
        <v>41.835</v>
      </c>
    </row>
    <row r="156">
      <c r="A156" s="1">
        <v>20.0</v>
      </c>
      <c r="B156" s="2">
        <v>36079.0</v>
      </c>
      <c r="C156" s="3">
        <f t="shared" si="15"/>
        <v>36.079</v>
      </c>
    </row>
    <row r="157">
      <c r="A157" s="1">
        <v>20.0</v>
      </c>
      <c r="B157" s="2">
        <v>41448.0</v>
      </c>
      <c r="C157" s="3">
        <f t="shared" si="15"/>
        <v>41.448</v>
      </c>
    </row>
    <row r="158">
      <c r="A158" s="1">
        <v>20.0</v>
      </c>
      <c r="B158" s="2">
        <v>57912.0</v>
      </c>
      <c r="C158" s="3">
        <f t="shared" si="15"/>
        <v>57.912</v>
      </c>
    </row>
    <row r="159">
      <c r="A159" s="1">
        <v>20.0</v>
      </c>
      <c r="B159" s="2">
        <v>35895.0</v>
      </c>
      <c r="C159" s="3">
        <f t="shared" si="15"/>
        <v>35.895</v>
      </c>
    </row>
    <row r="160">
      <c r="A160" s="1">
        <v>20.0</v>
      </c>
      <c r="B160" s="2">
        <v>34145.0</v>
      </c>
      <c r="C160" s="3">
        <f t="shared" si="15"/>
        <v>34.145</v>
      </c>
    </row>
    <row r="161">
      <c r="A161" s="1">
        <v>20.0</v>
      </c>
      <c r="B161" s="2">
        <v>30092.0</v>
      </c>
      <c r="C161" s="3">
        <f t="shared" si="15"/>
        <v>30.092</v>
      </c>
    </row>
    <row r="162">
      <c r="A162" s="1">
        <v>20.0</v>
      </c>
      <c r="B162" s="2">
        <v>37317.0</v>
      </c>
      <c r="C162" s="3">
        <f t="shared" si="15"/>
        <v>37.317</v>
      </c>
    </row>
    <row r="163">
      <c r="A163" s="1">
        <v>20.0</v>
      </c>
      <c r="B163" s="2">
        <v>40951.0</v>
      </c>
      <c r="C163" s="3">
        <f t="shared" si="15"/>
        <v>40.951</v>
      </c>
    </row>
    <row r="164">
      <c r="A164" s="1">
        <v>20.0</v>
      </c>
      <c r="B164" s="2">
        <v>78064.0</v>
      </c>
      <c r="C164" s="3">
        <f t="shared" si="15"/>
        <v>78.064</v>
      </c>
    </row>
    <row r="165">
      <c r="A165" s="1">
        <v>20.0</v>
      </c>
      <c r="B165" s="2">
        <v>30108.0</v>
      </c>
      <c r="C165" s="3">
        <f t="shared" si="15"/>
        <v>30.108</v>
      </c>
    </row>
    <row r="166">
      <c r="A166" s="1">
        <v>20.0</v>
      </c>
      <c r="B166" s="2">
        <v>34093.0</v>
      </c>
      <c r="C166" s="3">
        <f t="shared" si="15"/>
        <v>34.093</v>
      </c>
    </row>
    <row r="167">
      <c r="A167" s="1">
        <v>20.0</v>
      </c>
      <c r="B167" s="2">
        <v>32024.0</v>
      </c>
      <c r="C167" s="3">
        <f t="shared" si="15"/>
        <v>32.024</v>
      </c>
    </row>
    <row r="168">
      <c r="A168" s="1">
        <v>20.0</v>
      </c>
      <c r="B168" s="2">
        <v>39385.0</v>
      </c>
      <c r="C168" s="3">
        <f t="shared" si="15"/>
        <v>39.385</v>
      </c>
    </row>
    <row r="169">
      <c r="A169" s="1">
        <v>20.0</v>
      </c>
      <c r="B169" s="2">
        <v>30746.0</v>
      </c>
      <c r="C169" s="3">
        <f t="shared" si="15"/>
        <v>30.746</v>
      </c>
    </row>
    <row r="170">
      <c r="A170" s="1">
        <v>20.0</v>
      </c>
      <c r="B170" s="2">
        <v>31913.0</v>
      </c>
      <c r="C170" s="3">
        <f t="shared" si="15"/>
        <v>31.913</v>
      </c>
    </row>
    <row r="171">
      <c r="A171" s="1">
        <v>20.0</v>
      </c>
      <c r="B171" s="2">
        <v>30018.0</v>
      </c>
      <c r="C171" s="3">
        <f t="shared" si="15"/>
        <v>30.018</v>
      </c>
    </row>
    <row r="172">
      <c r="A172" s="1">
        <v>20.0</v>
      </c>
      <c r="B172" s="2">
        <v>30176.0</v>
      </c>
      <c r="C172" s="3">
        <f t="shared" si="15"/>
        <v>30.176</v>
      </c>
    </row>
    <row r="173">
      <c r="A173" s="1">
        <v>20.0</v>
      </c>
      <c r="B173" s="2">
        <v>32162.0</v>
      </c>
      <c r="C173" s="3">
        <f t="shared" si="15"/>
        <v>32.162</v>
      </c>
    </row>
    <row r="174">
      <c r="A174" s="1">
        <v>20.0</v>
      </c>
      <c r="B174" s="2">
        <v>31205.0</v>
      </c>
      <c r="C174" s="3">
        <f t="shared" si="15"/>
        <v>31.205</v>
      </c>
    </row>
    <row r="175">
      <c r="A175" s="1">
        <v>20.0</v>
      </c>
      <c r="B175" s="9">
        <v>53715.0</v>
      </c>
      <c r="C175" s="3">
        <f t="shared" si="15"/>
        <v>53.715</v>
      </c>
    </row>
    <row r="176">
      <c r="A176" s="1">
        <v>30.0</v>
      </c>
      <c r="B176" s="2">
        <v>31085.0</v>
      </c>
      <c r="C176" s="3">
        <f t="shared" si="15"/>
        <v>31.085</v>
      </c>
    </row>
    <row r="177">
      <c r="A177" s="1">
        <v>30.0</v>
      </c>
      <c r="B177" s="2">
        <v>30056.0</v>
      </c>
      <c r="C177" s="3">
        <f t="shared" si="15"/>
        <v>30.056</v>
      </c>
    </row>
    <row r="178">
      <c r="A178" s="1">
        <v>30.0</v>
      </c>
      <c r="B178" s="2">
        <v>32887.0</v>
      </c>
      <c r="C178" s="3">
        <f t="shared" si="15"/>
        <v>32.887</v>
      </c>
    </row>
    <row r="179">
      <c r="A179" s="1">
        <v>30.0</v>
      </c>
      <c r="B179" s="2">
        <v>30384.0</v>
      </c>
      <c r="C179" s="3">
        <f t="shared" si="15"/>
        <v>30.384</v>
      </c>
    </row>
    <row r="180">
      <c r="A180" s="1">
        <v>30.0</v>
      </c>
      <c r="B180" s="2">
        <v>29947.0</v>
      </c>
      <c r="C180" s="3">
        <f t="shared" si="15"/>
        <v>29.947</v>
      </c>
    </row>
    <row r="181">
      <c r="A181" s="1">
        <v>30.0</v>
      </c>
      <c r="B181" s="2">
        <v>30039.0</v>
      </c>
      <c r="C181" s="3">
        <f t="shared" si="15"/>
        <v>30.039</v>
      </c>
    </row>
    <row r="182">
      <c r="A182" s="1">
        <v>30.0</v>
      </c>
      <c r="B182" s="2">
        <v>31572.0</v>
      </c>
      <c r="C182" s="3">
        <f t="shared" si="15"/>
        <v>31.572</v>
      </c>
    </row>
    <row r="183">
      <c r="A183" s="1">
        <v>30.0</v>
      </c>
      <c r="B183" s="2">
        <v>30212.0</v>
      </c>
      <c r="C183" s="3">
        <f t="shared" si="15"/>
        <v>30.212</v>
      </c>
    </row>
    <row r="184">
      <c r="A184" s="1">
        <v>30.0</v>
      </c>
      <c r="B184" s="2">
        <v>31729.0</v>
      </c>
      <c r="C184" s="3">
        <f t="shared" si="15"/>
        <v>31.729</v>
      </c>
    </row>
    <row r="185">
      <c r="A185" s="1">
        <v>30.0</v>
      </c>
      <c r="B185" s="2">
        <v>32792.0</v>
      </c>
      <c r="C185" s="3">
        <f t="shared" si="15"/>
        <v>32.792</v>
      </c>
    </row>
    <row r="186">
      <c r="A186" s="1">
        <v>30.0</v>
      </c>
      <c r="B186" s="2">
        <v>30183.0</v>
      </c>
      <c r="C186" s="3">
        <f t="shared" si="15"/>
        <v>30.183</v>
      </c>
    </row>
    <row r="187">
      <c r="A187" s="1">
        <v>30.0</v>
      </c>
      <c r="B187" s="2">
        <v>29947.0</v>
      </c>
      <c r="C187" s="3">
        <f t="shared" si="15"/>
        <v>29.947</v>
      </c>
    </row>
    <row r="188">
      <c r="A188" s="1">
        <v>30.0</v>
      </c>
      <c r="B188" s="2">
        <v>30139.0</v>
      </c>
      <c r="C188" s="3">
        <f t="shared" si="15"/>
        <v>30.139</v>
      </c>
    </row>
    <row r="189">
      <c r="A189" s="1">
        <v>30.0</v>
      </c>
      <c r="B189" s="2">
        <v>32188.0</v>
      </c>
      <c r="C189" s="3">
        <f t="shared" si="15"/>
        <v>32.188</v>
      </c>
    </row>
    <row r="190">
      <c r="A190" s="1">
        <v>30.0</v>
      </c>
      <c r="B190" s="2">
        <v>29869.0</v>
      </c>
      <c r="C190" s="3">
        <f t="shared" si="15"/>
        <v>29.869</v>
      </c>
    </row>
    <row r="191">
      <c r="A191" s="1">
        <v>30.0</v>
      </c>
      <c r="B191" s="2">
        <v>31933.0</v>
      </c>
      <c r="C191" s="3">
        <f t="shared" si="15"/>
        <v>31.933</v>
      </c>
    </row>
    <row r="192">
      <c r="A192" s="1">
        <v>30.0</v>
      </c>
      <c r="B192" s="2">
        <v>29997.0</v>
      </c>
      <c r="C192" s="3">
        <f t="shared" si="15"/>
        <v>29.997</v>
      </c>
    </row>
    <row r="193">
      <c r="A193" s="1">
        <v>30.0</v>
      </c>
      <c r="B193" s="2">
        <v>29933.0</v>
      </c>
      <c r="C193" s="3">
        <f t="shared" si="15"/>
        <v>29.933</v>
      </c>
    </row>
    <row r="194">
      <c r="A194" s="1">
        <v>30.0</v>
      </c>
      <c r="B194" s="2">
        <v>32100.0</v>
      </c>
      <c r="C194" s="3">
        <f t="shared" si="15"/>
        <v>32.1</v>
      </c>
    </row>
    <row r="195">
      <c r="A195" s="1">
        <v>30.0</v>
      </c>
      <c r="B195" s="2">
        <v>29844.0</v>
      </c>
      <c r="C195" s="3">
        <f t="shared" si="15"/>
        <v>29.844</v>
      </c>
    </row>
    <row r="196">
      <c r="A196" s="1">
        <v>30.0</v>
      </c>
      <c r="B196" s="2">
        <v>40131.0</v>
      </c>
      <c r="C196" s="3">
        <f t="shared" si="15"/>
        <v>40.131</v>
      </c>
    </row>
    <row r="197">
      <c r="A197" s="1">
        <v>30.0</v>
      </c>
      <c r="B197" s="2">
        <v>29974.0</v>
      </c>
      <c r="C197" s="3">
        <f t="shared" si="15"/>
        <v>29.974</v>
      </c>
    </row>
    <row r="198">
      <c r="A198" s="1">
        <v>30.0</v>
      </c>
      <c r="B198" s="2">
        <v>29930.0</v>
      </c>
      <c r="C198" s="3">
        <f t="shared" si="15"/>
        <v>29.93</v>
      </c>
    </row>
    <row r="199">
      <c r="A199" s="1">
        <v>30.0</v>
      </c>
      <c r="B199" s="9">
        <v>29961.0</v>
      </c>
      <c r="C199" s="3">
        <f t="shared" si="15"/>
        <v>29.961</v>
      </c>
    </row>
    <row r="200">
      <c r="A200" s="1">
        <v>40.0</v>
      </c>
      <c r="B200" s="2">
        <v>50897.0</v>
      </c>
      <c r="C200" s="3">
        <f t="shared" si="15"/>
        <v>50.897</v>
      </c>
    </row>
    <row r="201">
      <c r="A201" s="1">
        <v>40.0</v>
      </c>
      <c r="B201" s="2">
        <v>34399.0</v>
      </c>
      <c r="C201" s="3">
        <f t="shared" si="15"/>
        <v>34.399</v>
      </c>
    </row>
    <row r="202">
      <c r="A202" s="1">
        <v>40.0</v>
      </c>
      <c r="B202" s="2">
        <v>33782.0</v>
      </c>
      <c r="C202" s="3">
        <f t="shared" si="15"/>
        <v>33.782</v>
      </c>
    </row>
    <row r="203">
      <c r="A203" s="1">
        <v>40.0</v>
      </c>
      <c r="B203" s="2">
        <v>29978.0</v>
      </c>
      <c r="C203" s="3">
        <f t="shared" si="15"/>
        <v>29.978</v>
      </c>
    </row>
    <row r="204">
      <c r="A204" s="1">
        <v>40.0</v>
      </c>
      <c r="B204" s="2">
        <v>29871.0</v>
      </c>
      <c r="C204" s="3">
        <f t="shared" si="15"/>
        <v>29.871</v>
      </c>
    </row>
    <row r="205">
      <c r="A205" s="1">
        <v>40.0</v>
      </c>
      <c r="B205" s="2">
        <v>37672.0</v>
      </c>
      <c r="C205" s="3">
        <f t="shared" si="15"/>
        <v>37.672</v>
      </c>
    </row>
    <row r="206">
      <c r="A206" s="1">
        <v>40.0</v>
      </c>
      <c r="B206" s="2">
        <v>45210.0</v>
      </c>
      <c r="C206" s="3">
        <f t="shared" si="15"/>
        <v>45.21</v>
      </c>
    </row>
    <row r="207">
      <c r="A207" s="1">
        <v>40.0</v>
      </c>
      <c r="B207" s="2">
        <v>30927.0</v>
      </c>
      <c r="C207" s="3">
        <f t="shared" si="15"/>
        <v>30.927</v>
      </c>
    </row>
    <row r="208">
      <c r="A208" s="1">
        <v>40.0</v>
      </c>
      <c r="B208" s="2">
        <v>29945.0</v>
      </c>
      <c r="C208" s="3">
        <f t="shared" si="15"/>
        <v>29.945</v>
      </c>
    </row>
    <row r="209">
      <c r="A209" s="1">
        <v>40.0</v>
      </c>
      <c r="B209" s="2">
        <v>30034.0</v>
      </c>
      <c r="C209" s="3">
        <f t="shared" si="15"/>
        <v>30.034</v>
      </c>
    </row>
    <row r="210">
      <c r="A210" s="1">
        <v>40.0</v>
      </c>
      <c r="B210" s="2">
        <v>29882.0</v>
      </c>
      <c r="C210" s="3">
        <f t="shared" si="15"/>
        <v>29.882</v>
      </c>
    </row>
    <row r="211">
      <c r="A211" s="1">
        <v>40.0</v>
      </c>
      <c r="B211" s="2">
        <v>32165.0</v>
      </c>
      <c r="C211" s="3">
        <f t="shared" si="15"/>
        <v>32.165</v>
      </c>
    </row>
    <row r="212">
      <c r="A212" s="1">
        <v>40.0</v>
      </c>
      <c r="B212" s="2">
        <v>33841.0</v>
      </c>
      <c r="C212" s="3">
        <f t="shared" si="15"/>
        <v>33.841</v>
      </c>
    </row>
    <row r="213">
      <c r="A213" s="1">
        <v>40.0</v>
      </c>
      <c r="B213" s="2">
        <v>31965.0</v>
      </c>
      <c r="C213" s="3">
        <f t="shared" si="15"/>
        <v>31.965</v>
      </c>
    </row>
    <row r="214">
      <c r="A214" s="1">
        <v>40.0</v>
      </c>
      <c r="B214" s="2">
        <v>30915.0</v>
      </c>
      <c r="C214" s="3">
        <f t="shared" si="15"/>
        <v>30.915</v>
      </c>
    </row>
    <row r="215">
      <c r="A215" s="1">
        <v>40.0</v>
      </c>
      <c r="B215" s="2">
        <v>31939.0</v>
      </c>
      <c r="C215" s="3">
        <f t="shared" si="15"/>
        <v>31.939</v>
      </c>
    </row>
    <row r="216">
      <c r="A216" s="1">
        <v>40.0</v>
      </c>
      <c r="B216" s="2">
        <v>36715.0</v>
      </c>
      <c r="C216" s="3">
        <f t="shared" si="15"/>
        <v>36.715</v>
      </c>
    </row>
    <row r="217">
      <c r="A217" s="1">
        <v>40.0</v>
      </c>
      <c r="B217" s="2">
        <v>30012.0</v>
      </c>
      <c r="C217" s="3">
        <f t="shared" si="15"/>
        <v>30.012</v>
      </c>
    </row>
    <row r="218">
      <c r="A218" s="1">
        <v>40.0</v>
      </c>
      <c r="B218" s="2">
        <v>29943.0</v>
      </c>
      <c r="C218" s="3">
        <f t="shared" si="15"/>
        <v>29.943</v>
      </c>
    </row>
    <row r="219">
      <c r="A219" s="1">
        <v>40.0</v>
      </c>
      <c r="B219" s="2">
        <v>29884.0</v>
      </c>
      <c r="C219" s="3">
        <f t="shared" si="15"/>
        <v>29.884</v>
      </c>
    </row>
    <row r="220">
      <c r="A220" s="1">
        <v>40.0</v>
      </c>
      <c r="B220" s="2">
        <v>36249.0</v>
      </c>
      <c r="C220" s="3">
        <f t="shared" si="15"/>
        <v>36.249</v>
      </c>
    </row>
    <row r="221">
      <c r="A221" s="1">
        <v>40.0</v>
      </c>
      <c r="B221" s="2">
        <v>29983.0</v>
      </c>
      <c r="C221" s="3">
        <f t="shared" si="15"/>
        <v>29.983</v>
      </c>
    </row>
    <row r="222">
      <c r="A222" s="1">
        <v>40.0</v>
      </c>
      <c r="B222" s="2">
        <v>31951.0</v>
      </c>
      <c r="C222" s="3">
        <f t="shared" si="15"/>
        <v>31.951</v>
      </c>
    </row>
    <row r="223">
      <c r="A223" s="1">
        <v>40.0</v>
      </c>
      <c r="B223" s="9">
        <v>45668.0</v>
      </c>
      <c r="C223" s="3">
        <f t="shared" si="15"/>
        <v>45.668</v>
      </c>
    </row>
    <row r="224">
      <c r="A224" s="1">
        <v>50.0</v>
      </c>
      <c r="B224" s="2">
        <v>31005.0</v>
      </c>
      <c r="C224" s="3">
        <f t="shared" si="15"/>
        <v>31.005</v>
      </c>
    </row>
    <row r="225">
      <c r="A225" s="1">
        <v>50.0</v>
      </c>
      <c r="B225" s="2">
        <v>30083.0</v>
      </c>
      <c r="C225" s="3">
        <f t="shared" si="15"/>
        <v>30.083</v>
      </c>
    </row>
    <row r="226">
      <c r="A226" s="1">
        <v>50.0</v>
      </c>
      <c r="B226" s="2">
        <v>29959.0</v>
      </c>
      <c r="C226" s="3">
        <f t="shared" si="15"/>
        <v>29.959</v>
      </c>
    </row>
    <row r="227">
      <c r="A227" s="1">
        <v>50.0</v>
      </c>
      <c r="B227" s="2">
        <v>29924.0</v>
      </c>
      <c r="C227" s="3">
        <f t="shared" si="15"/>
        <v>29.924</v>
      </c>
    </row>
    <row r="228">
      <c r="A228" s="1">
        <v>50.0</v>
      </c>
      <c r="B228" s="2">
        <v>29853.0</v>
      </c>
      <c r="C228" s="3">
        <f t="shared" si="15"/>
        <v>29.853</v>
      </c>
    </row>
    <row r="229">
      <c r="A229" s="1">
        <v>50.0</v>
      </c>
      <c r="B229" s="2">
        <v>30993.0</v>
      </c>
      <c r="C229" s="3">
        <f t="shared" si="15"/>
        <v>30.993</v>
      </c>
    </row>
    <row r="230">
      <c r="A230" s="1">
        <v>50.0</v>
      </c>
      <c r="B230" s="2">
        <v>30036.0</v>
      </c>
      <c r="C230" s="3">
        <f t="shared" si="15"/>
        <v>30.036</v>
      </c>
    </row>
    <row r="231">
      <c r="A231" s="1">
        <v>50.0</v>
      </c>
      <c r="B231" s="2">
        <v>29902.0</v>
      </c>
      <c r="C231" s="3">
        <f t="shared" si="15"/>
        <v>29.902</v>
      </c>
    </row>
    <row r="232">
      <c r="A232" s="1">
        <v>50.0</v>
      </c>
      <c r="B232" s="2">
        <v>29883.0</v>
      </c>
      <c r="C232" s="3">
        <f t="shared" si="15"/>
        <v>29.883</v>
      </c>
    </row>
    <row r="233">
      <c r="A233" s="1">
        <v>50.0</v>
      </c>
      <c r="B233" s="2">
        <v>36887.0</v>
      </c>
      <c r="C233" s="3">
        <f t="shared" si="15"/>
        <v>36.887</v>
      </c>
    </row>
    <row r="234">
      <c r="A234" s="1">
        <v>50.0</v>
      </c>
      <c r="B234" s="2">
        <v>31101.0</v>
      </c>
      <c r="C234" s="3">
        <f t="shared" si="15"/>
        <v>31.101</v>
      </c>
    </row>
    <row r="235">
      <c r="A235" s="1">
        <v>50.0</v>
      </c>
      <c r="B235" s="2">
        <v>32937.0</v>
      </c>
      <c r="C235" s="3">
        <f t="shared" si="15"/>
        <v>32.937</v>
      </c>
    </row>
    <row r="236">
      <c r="A236" s="1">
        <v>50.0</v>
      </c>
      <c r="B236" s="2">
        <v>29846.0</v>
      </c>
      <c r="C236" s="3">
        <f t="shared" si="15"/>
        <v>29.846</v>
      </c>
    </row>
    <row r="237">
      <c r="A237" s="1">
        <v>50.0</v>
      </c>
      <c r="B237" s="2">
        <v>32961.0</v>
      </c>
      <c r="C237" s="3">
        <f t="shared" si="15"/>
        <v>32.961</v>
      </c>
    </row>
    <row r="238">
      <c r="A238" s="1">
        <v>50.0</v>
      </c>
      <c r="B238" s="2">
        <v>39756.0</v>
      </c>
      <c r="C238" s="3">
        <f t="shared" si="15"/>
        <v>39.756</v>
      </c>
    </row>
    <row r="239">
      <c r="A239" s="1">
        <v>50.0</v>
      </c>
      <c r="B239" s="2">
        <v>67761.0</v>
      </c>
      <c r="C239" s="3">
        <f t="shared" si="15"/>
        <v>67.761</v>
      </c>
    </row>
    <row r="240">
      <c r="A240" s="1">
        <v>50.0</v>
      </c>
      <c r="B240" s="2">
        <v>34350.0</v>
      </c>
      <c r="C240" s="3">
        <f t="shared" si="15"/>
        <v>34.35</v>
      </c>
    </row>
    <row r="241">
      <c r="A241" s="1">
        <v>50.0</v>
      </c>
      <c r="B241" s="2">
        <v>33698.0</v>
      </c>
      <c r="C241" s="3">
        <f t="shared" si="15"/>
        <v>33.698</v>
      </c>
    </row>
    <row r="242">
      <c r="A242" s="1">
        <v>50.0</v>
      </c>
      <c r="B242" s="2">
        <v>33179.0</v>
      </c>
      <c r="C242" s="3">
        <f t="shared" si="15"/>
        <v>33.179</v>
      </c>
    </row>
    <row r="243">
      <c r="A243" s="1">
        <v>50.0</v>
      </c>
      <c r="B243" s="2">
        <v>31748.0</v>
      </c>
      <c r="C243" s="3">
        <f t="shared" si="15"/>
        <v>31.748</v>
      </c>
    </row>
    <row r="244">
      <c r="A244" s="1">
        <v>50.0</v>
      </c>
      <c r="B244" s="2">
        <v>29916.0</v>
      </c>
      <c r="C244" s="3">
        <f t="shared" si="15"/>
        <v>29.916</v>
      </c>
    </row>
    <row r="245">
      <c r="A245" s="1">
        <v>50.0</v>
      </c>
      <c r="B245" s="2">
        <v>57396.0</v>
      </c>
      <c r="C245" s="3">
        <f t="shared" si="15"/>
        <v>57.396</v>
      </c>
    </row>
    <row r="246">
      <c r="A246" s="1">
        <v>50.0</v>
      </c>
      <c r="B246" s="2">
        <v>29936.0</v>
      </c>
      <c r="C246" s="3">
        <f t="shared" si="15"/>
        <v>29.936</v>
      </c>
    </row>
    <row r="247">
      <c r="A247" s="1">
        <v>50.0</v>
      </c>
      <c r="B247" s="9">
        <v>30000.0</v>
      </c>
      <c r="C247" s="3">
        <f t="shared" si="15"/>
        <v>30</v>
      </c>
    </row>
    <row r="248">
      <c r="A248" s="1">
        <v>60.0</v>
      </c>
      <c r="B248" s="2">
        <v>35764.0</v>
      </c>
      <c r="C248" s="3">
        <f t="shared" si="15"/>
        <v>35.764</v>
      </c>
    </row>
    <row r="249">
      <c r="A249" s="1">
        <v>60.0</v>
      </c>
      <c r="B249" s="2">
        <v>29889.0</v>
      </c>
      <c r="C249" s="3">
        <f t="shared" si="15"/>
        <v>29.889</v>
      </c>
    </row>
    <row r="250">
      <c r="A250" s="1">
        <v>60.0</v>
      </c>
      <c r="B250" s="2">
        <v>32037.0</v>
      </c>
      <c r="C250" s="3">
        <f t="shared" si="15"/>
        <v>32.037</v>
      </c>
    </row>
    <row r="251">
      <c r="A251" s="1">
        <v>60.0</v>
      </c>
      <c r="B251" s="2">
        <v>29924.0</v>
      </c>
      <c r="C251" s="3">
        <f t="shared" si="15"/>
        <v>29.924</v>
      </c>
    </row>
    <row r="252">
      <c r="A252" s="1">
        <v>60.0</v>
      </c>
      <c r="B252" s="2">
        <v>29945.0</v>
      </c>
      <c r="C252" s="3">
        <f t="shared" si="15"/>
        <v>29.945</v>
      </c>
    </row>
    <row r="253">
      <c r="A253" s="1">
        <v>60.0</v>
      </c>
      <c r="B253" s="2">
        <v>29873.0</v>
      </c>
      <c r="C253" s="3">
        <f t="shared" si="15"/>
        <v>29.873</v>
      </c>
    </row>
    <row r="254">
      <c r="A254" s="1">
        <v>60.0</v>
      </c>
      <c r="B254" s="2">
        <v>29932.0</v>
      </c>
      <c r="C254" s="3">
        <f t="shared" si="15"/>
        <v>29.932</v>
      </c>
    </row>
    <row r="255">
      <c r="A255" s="1">
        <v>60.0</v>
      </c>
      <c r="B255" s="2">
        <v>29976.0</v>
      </c>
      <c r="C255" s="3">
        <f t="shared" si="15"/>
        <v>29.976</v>
      </c>
    </row>
    <row r="256">
      <c r="A256" s="1">
        <v>60.0</v>
      </c>
      <c r="B256" s="2">
        <v>29878.0</v>
      </c>
      <c r="C256" s="3">
        <f t="shared" si="15"/>
        <v>29.878</v>
      </c>
    </row>
    <row r="257">
      <c r="A257" s="1">
        <v>60.0</v>
      </c>
      <c r="B257" s="2">
        <v>30067.0</v>
      </c>
      <c r="C257" s="3">
        <f t="shared" si="15"/>
        <v>30.067</v>
      </c>
    </row>
    <row r="258">
      <c r="A258" s="1">
        <v>60.0</v>
      </c>
      <c r="B258" s="2">
        <v>31538.0</v>
      </c>
      <c r="C258" s="3">
        <f t="shared" si="15"/>
        <v>31.538</v>
      </c>
    </row>
    <row r="259">
      <c r="A259" s="1">
        <v>60.0</v>
      </c>
      <c r="B259" s="2">
        <v>29901.0</v>
      </c>
      <c r="C259" s="3">
        <f t="shared" si="15"/>
        <v>29.901</v>
      </c>
    </row>
    <row r="260">
      <c r="A260" s="1">
        <v>60.0</v>
      </c>
      <c r="B260" s="2">
        <v>29968.0</v>
      </c>
      <c r="C260" s="3">
        <f t="shared" si="15"/>
        <v>29.968</v>
      </c>
    </row>
    <row r="261">
      <c r="A261" s="1">
        <v>60.0</v>
      </c>
      <c r="B261" s="2">
        <v>29922.0</v>
      </c>
      <c r="C261" s="3">
        <f t="shared" si="15"/>
        <v>29.922</v>
      </c>
    </row>
    <row r="262">
      <c r="A262" s="1">
        <v>60.0</v>
      </c>
      <c r="B262" s="2">
        <v>29911.0</v>
      </c>
      <c r="C262" s="3">
        <f t="shared" si="15"/>
        <v>29.911</v>
      </c>
    </row>
    <row r="263">
      <c r="A263" s="1">
        <v>60.0</v>
      </c>
      <c r="B263" s="2">
        <v>29880.0</v>
      </c>
      <c r="C263" s="3">
        <f t="shared" si="15"/>
        <v>29.88</v>
      </c>
    </row>
    <row r="264">
      <c r="A264" s="1">
        <v>60.0</v>
      </c>
      <c r="B264" s="2">
        <v>29785.0</v>
      </c>
      <c r="C264" s="3">
        <f t="shared" si="15"/>
        <v>29.785</v>
      </c>
    </row>
    <row r="265">
      <c r="A265" s="1">
        <v>60.0</v>
      </c>
      <c r="B265" s="2">
        <v>31022.0</v>
      </c>
      <c r="C265" s="3">
        <f t="shared" si="15"/>
        <v>31.022</v>
      </c>
    </row>
    <row r="266">
      <c r="A266" s="1">
        <v>60.0</v>
      </c>
      <c r="B266" s="2">
        <v>29979.0</v>
      </c>
      <c r="C266" s="3">
        <f t="shared" si="15"/>
        <v>29.979</v>
      </c>
    </row>
    <row r="267">
      <c r="A267" s="1">
        <v>60.0</v>
      </c>
      <c r="B267" s="2">
        <v>29886.0</v>
      </c>
      <c r="C267" s="3">
        <f t="shared" si="15"/>
        <v>29.886</v>
      </c>
    </row>
    <row r="268">
      <c r="A268" s="1">
        <v>60.0</v>
      </c>
      <c r="B268" s="2">
        <v>29955.0</v>
      </c>
      <c r="C268" s="3">
        <f t="shared" si="15"/>
        <v>29.955</v>
      </c>
    </row>
    <row r="269">
      <c r="A269" s="1">
        <v>60.0</v>
      </c>
      <c r="B269" s="2">
        <v>30983.0</v>
      </c>
      <c r="C269" s="3">
        <f t="shared" si="15"/>
        <v>30.983</v>
      </c>
    </row>
    <row r="270">
      <c r="A270" s="1">
        <v>60.0</v>
      </c>
      <c r="B270" s="2">
        <v>29936.0</v>
      </c>
      <c r="C270" s="3">
        <f t="shared" si="15"/>
        <v>29.936</v>
      </c>
    </row>
    <row r="271">
      <c r="A271" s="1">
        <v>60.0</v>
      </c>
      <c r="B271" s="9">
        <v>31839.0</v>
      </c>
      <c r="C271" s="3">
        <f t="shared" si="15"/>
        <v>31.839</v>
      </c>
    </row>
    <row r="272">
      <c r="A272" s="1">
        <v>75.0</v>
      </c>
      <c r="B272" s="2">
        <v>30921.0</v>
      </c>
      <c r="C272" s="3">
        <f t="shared" si="15"/>
        <v>30.921</v>
      </c>
    </row>
    <row r="273">
      <c r="A273" s="1">
        <v>75.0</v>
      </c>
      <c r="B273" s="2">
        <v>29793.0</v>
      </c>
      <c r="C273" s="3">
        <f t="shared" si="15"/>
        <v>29.793</v>
      </c>
    </row>
    <row r="274">
      <c r="A274" s="1">
        <v>75.0</v>
      </c>
      <c r="B274" s="2">
        <v>41193.0</v>
      </c>
      <c r="C274" s="3">
        <f t="shared" si="15"/>
        <v>41.193</v>
      </c>
    </row>
    <row r="275">
      <c r="A275" s="1">
        <v>75.0</v>
      </c>
      <c r="B275" s="2">
        <v>49786.0</v>
      </c>
      <c r="C275" s="3">
        <f t="shared" si="15"/>
        <v>49.786</v>
      </c>
    </row>
  </sheetData>
  <drawing r:id="rId1"/>
</worksheet>
</file>