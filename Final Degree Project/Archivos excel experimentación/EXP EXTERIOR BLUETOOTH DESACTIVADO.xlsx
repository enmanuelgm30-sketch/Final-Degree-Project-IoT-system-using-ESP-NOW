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<sst xmlns="http://schemas.openxmlformats.org/spreadsheetml/2006/main" count="356" uniqueCount="149">
  <si>
    <t>1 m</t>
  </si>
  <si>
    <t>5 m</t>
  </si>
  <si>
    <t>10 m</t>
  </si>
  <si>
    <t>15 m</t>
  </si>
  <si>
    <t>20 m</t>
  </si>
  <si>
    <t>30 m</t>
  </si>
  <si>
    <t>40 m</t>
  </si>
  <si>
    <t>50 m</t>
  </si>
  <si>
    <t>60 m</t>
  </si>
  <si>
    <t>82 m(limite practico</t>
  </si>
  <si>
    <t>93 m</t>
  </si>
  <si>
    <t>Muestra</t>
  </si>
  <si>
    <t>RTT (ms)</t>
  </si>
  <si>
    <t>Latencia (ms)</t>
  </si>
  <si>
    <t>Enviados</t>
  </si>
  <si>
    <t>Recibidos</t>
  </si>
  <si>
    <t>Éxito (%)</t>
  </si>
  <si>
    <t>Tasa de éxito (%)</t>
  </si>
  <si>
    <t>100.00</t>
  </si>
  <si>
    <t>6.67</t>
  </si>
  <si>
    <t>66.67</t>
  </si>
  <si>
    <t>10.53</t>
  </si>
  <si>
    <t>75.00</t>
  </si>
  <si>
    <t>80.00</t>
  </si>
  <si>
    <t>83.33</t>
  </si>
  <si>
    <t>71.43</t>
  </si>
  <si>
    <t>85.71</t>
  </si>
  <si>
    <t>87.50</t>
  </si>
  <si>
    <t>63.64</t>
  </si>
  <si>
    <t>70.00</t>
  </si>
  <si>
    <t>88.89</t>
  </si>
  <si>
    <t>72.73</t>
  </si>
  <si>
    <t>90.00</t>
  </si>
  <si>
    <t>60.00</t>
  </si>
  <si>
    <t>64.29</t>
  </si>
  <si>
    <t>90.91</t>
  </si>
  <si>
    <t>58.82</t>
  </si>
  <si>
    <t>91.67</t>
  </si>
  <si>
    <t>57.89</t>
  </si>
  <si>
    <t>68.75</t>
  </si>
  <si>
    <t>92.31</t>
  </si>
  <si>
    <t>70.59</t>
  </si>
  <si>
    <t>86.67</t>
  </si>
  <si>
    <t>61.90</t>
  </si>
  <si>
    <t>72.22</t>
  </si>
  <si>
    <t>73.68</t>
  </si>
  <si>
    <t>88.24</t>
  </si>
  <si>
    <t>65.22</t>
  </si>
  <si>
    <t>57.69</t>
  </si>
  <si>
    <t>59.26</t>
  </si>
  <si>
    <t>89.47</t>
  </si>
  <si>
    <t>65.38</t>
  </si>
  <si>
    <t>60.71</t>
  </si>
  <si>
    <t>62.07</t>
  </si>
  <si>
    <t>90.48</t>
  </si>
  <si>
    <t>63.33</t>
  </si>
  <si>
    <t>64.52</t>
  </si>
  <si>
    <t>91.30</t>
  </si>
  <si>
    <t>25.00</t>
  </si>
  <si>
    <t>64.71</t>
  </si>
  <si>
    <t>26.67</t>
  </si>
  <si>
    <t>65.71</t>
  </si>
  <si>
    <t>31.25</t>
  </si>
  <si>
    <t>92.59</t>
  </si>
  <si>
    <t>89.29</t>
  </si>
  <si>
    <t>65.79</t>
  </si>
  <si>
    <t>Media</t>
  </si>
  <si>
    <t>92.86</t>
  </si>
  <si>
    <t>89.66</t>
  </si>
  <si>
    <t>metros</t>
  </si>
  <si>
    <t>93.10</t>
  </si>
  <si>
    <t>67.50</t>
  </si>
  <si>
    <t>RTT(ms)</t>
  </si>
  <si>
    <t>93.33</t>
  </si>
  <si>
    <t>90.32</t>
  </si>
  <si>
    <t>60.87</t>
  </si>
  <si>
    <t>Latencia</t>
  </si>
  <si>
    <t>93.55</t>
  </si>
  <si>
    <t>90.62</t>
  </si>
  <si>
    <t>60.42</t>
  </si>
  <si>
    <t>61.22</t>
  </si>
  <si>
    <t>62.00</t>
  </si>
  <si>
    <t>62.75</t>
  </si>
  <si>
    <t>63.46</t>
  </si>
  <si>
    <t>64.15</t>
  </si>
  <si>
    <t>64.81</t>
  </si>
  <si>
    <t>64.91</t>
  </si>
  <si>
    <t>65.52</t>
  </si>
  <si>
    <t>66.10</t>
  </si>
  <si>
    <t>media</t>
  </si>
  <si>
    <t>67.21</t>
  </si>
  <si>
    <t>Latencia(ms)</t>
  </si>
  <si>
    <t>PDR</t>
  </si>
  <si>
    <t>67.74</t>
  </si>
  <si>
    <t>68.25</t>
  </si>
  <si>
    <t>69.23</t>
  </si>
  <si>
    <t>69.70</t>
  </si>
  <si>
    <t>70.15</t>
  </si>
  <si>
    <t>71.01</t>
  </si>
  <si>
    <t>71.83</t>
  </si>
  <si>
    <t>72.60</t>
  </si>
  <si>
    <t>72.97</t>
  </si>
  <si>
    <t>71.79</t>
  </si>
  <si>
    <t>72.15</t>
  </si>
  <si>
    <t>72.50</t>
  </si>
  <si>
    <t>72.84</t>
  </si>
  <si>
    <t>73.17</t>
  </si>
  <si>
    <t>73.49</t>
  </si>
  <si>
    <t>73.81</t>
  </si>
  <si>
    <t>74.12</t>
  </si>
  <si>
    <t>74.42</t>
  </si>
  <si>
    <t>74.71</t>
  </si>
  <si>
    <t>75.28</t>
  </si>
  <si>
    <t>RTT</t>
  </si>
  <si>
    <t>75.56</t>
  </si>
  <si>
    <t>75.82</t>
  </si>
  <si>
    <t>76.09</t>
  </si>
  <si>
    <t>76.34</t>
  </si>
  <si>
    <t>76.60</t>
  </si>
  <si>
    <t>76.84</t>
  </si>
  <si>
    <t>77.08</t>
  </si>
  <si>
    <t>77.32</t>
  </si>
  <si>
    <t>77.55</t>
  </si>
  <si>
    <t>77.78</t>
  </si>
  <si>
    <t>78.00</t>
  </si>
  <si>
    <t>78.22</t>
  </si>
  <si>
    <t>78.43</t>
  </si>
  <si>
    <t>78.64</t>
  </si>
  <si>
    <t>73.87</t>
  </si>
  <si>
    <t>74.11</t>
  </si>
  <si>
    <t>74.34</t>
  </si>
  <si>
    <t>74.56</t>
  </si>
  <si>
    <t>74.78</t>
  </si>
  <si>
    <t>75.21</t>
  </si>
  <si>
    <t>74.79</t>
  </si>
  <si>
    <t>75.41</t>
  </si>
  <si>
    <t>75.61</t>
  </si>
  <si>
    <t>75.81</t>
  </si>
  <si>
    <t>76.00</t>
  </si>
  <si>
    <t>76.19</t>
  </si>
  <si>
    <t>76.38</t>
  </si>
  <si>
    <t>72.06</t>
  </si>
  <si>
    <t>72.26</t>
  </si>
  <si>
    <t>72.46</t>
  </si>
  <si>
    <t>72.14</t>
  </si>
  <si>
    <t>72.34</t>
  </si>
  <si>
    <t>72.54</t>
  </si>
  <si>
    <t>69.54</t>
  </si>
  <si>
    <t>69.74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</si>
</sst>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EA4335"/>
        <bgColor rgb="FFEA4335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1" numFmtId="3" xfId="0" applyAlignment="1" applyFont="1" applyNumberFormat="1">
      <alignment readingOrder="0"/>
    </xf>
    <xf borderId="0" fillId="3" fontId="1" numFmtId="0" xfId="0" applyAlignment="1" applyFill="1" applyFont="1">
      <alignment readingOrder="0"/>
    </xf>
    <xf borderId="0" fillId="3" fontId="1" numFmtId="3" xfId="0" applyAlignment="1" applyFont="1" applyNumberFormat="1">
      <alignment readingOrder="0"/>
    </xf>
    <xf borderId="0" fillId="4" fontId="1" numFmtId="0" xfId="0" applyAlignment="1" applyFill="1" applyFont="1">
      <alignment readingOrder="0"/>
    </xf>
    <xf borderId="0" fillId="4" fontId="1" numFmtId="3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1" numFmtId="3" xfId="0" applyFont="1" applyNumberFormat="1"/>
    <xf borderId="0" fillId="0" fontId="1" numFmtId="0" xfId="0" applyFont="1"/>
    <xf borderId="0" fillId="0" fontId="2" numFmtId="0" xfId="0" applyAlignment="1" applyFont="1">
      <alignment readingOrder="0" vertical="bottom"/>
    </xf>
    <xf borderId="0" fillId="0" fontId="2" numFmtId="3" xfId="0" applyAlignment="1" applyFont="1" applyNumberFormat="1">
      <alignment horizontal="right" vertical="bottom"/>
    </xf>
    <xf borderId="0" fillId="3" fontId="2" numFmtId="3" xfId="0" applyAlignment="1" applyFont="1" applyNumberFormat="1">
      <alignment horizontal="right" vertical="bottom"/>
    </xf>
    <xf borderId="0" fillId="5" fontId="2" numFmtId="3" xfId="0" applyAlignment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RTT y Latencia promedo en función de la distancia</a:t>
            </a:r>
          </a:p>
        </c:rich>
      </c:tx>
      <c:layout>
        <c:manualLayout>
          <c:xMode val="edge"/>
          <c:yMode val="edge"/>
          <c:x val="0.035916666666666666"/>
          <c:y val="0.05"/>
        </c:manualLayout>
      </c:layout>
      <c:overlay val="0"/>
    </c:title>
    <c:plotArea>
      <c:layout/>
      <c:lineChart>
        <c:ser>
          <c:idx val="0"/>
          <c:order val="0"/>
          <c:tx>
            <c:strRef>
              <c:f>'Hoja 1'!$B$43:$B$44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1'!$A$45:$A$55</c:f>
            </c:strRef>
          </c:cat>
          <c:val>
            <c:numRef>
              <c:f>'Hoja 1'!$B$45:$B$55</c:f>
              <c:numCache/>
            </c:numRef>
          </c:val>
          <c:smooth val="0"/>
        </c:ser>
        <c:ser>
          <c:idx val="1"/>
          <c:order val="1"/>
          <c:tx>
            <c:strRef>
              <c:f>'Hoja 1'!$C$43:$C$44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'Hoja 1'!$A$45:$A$55</c:f>
            </c:strRef>
          </c:cat>
          <c:val>
            <c:numRef>
              <c:f>'Hoja 1'!$C$45:$C$55</c:f>
              <c:numCache/>
            </c:numRef>
          </c:val>
          <c:smooth val="0"/>
        </c:ser>
        <c:axId val="51680322"/>
        <c:axId val="1310603962"/>
      </c:lineChart>
      <c:catAx>
        <c:axId val="516803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0603962"/>
      </c:catAx>
      <c:valAx>
        <c:axId val="13106039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16803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PDR en función de la distancia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'Hoja 1'!$D$43:$D$44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'Hoja 1'!$A$45:$A$55</c:f>
            </c:strRef>
          </c:cat>
          <c:val>
            <c:numRef>
              <c:f>'Hoja 1'!$D$45:$D$55</c:f>
              <c:numCache/>
            </c:numRef>
          </c:val>
          <c:smooth val="0"/>
        </c:ser>
        <c:axId val="353162617"/>
        <c:axId val="1333013615"/>
      </c:lineChart>
      <c:catAx>
        <c:axId val="3531626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33013615"/>
      </c:catAx>
      <c:valAx>
        <c:axId val="13330136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Porcentaje 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31626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Dispersión del RTT respecto a la distancia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'Hoja 1'!$B$70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'Hoja 1'!$A$71:$A$268</c:f>
            </c:numRef>
          </c:xVal>
          <c:yVal>
            <c:numRef>
              <c:f>'Hoja 1'!$B$71:$B$268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5643918"/>
        <c:axId val="73868440"/>
      </c:scatterChart>
      <c:valAx>
        <c:axId val="96564391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metros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868440"/>
      </c:valAx>
      <c:valAx>
        <c:axId val="73868440"/>
        <c:scaling>
          <c:orientation val="minMax"/>
          <c:min val="2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milisegundos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6564391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95250</xdr:colOff>
      <xdr:row>62</xdr:row>
      <xdr:rowOff>47625</xdr:rowOff>
    </xdr:from>
    <xdr:ext cx="7915275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95250</xdr:colOff>
      <xdr:row>40</xdr:row>
      <xdr:rowOff>114300</xdr:rowOff>
    </xdr:from>
    <xdr:ext cx="7915275" cy="40195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13</xdr:col>
      <xdr:colOff>95250</xdr:colOff>
      <xdr:row>80</xdr:row>
      <xdr:rowOff>28575</xdr:rowOff>
    </xdr:from>
    <xdr:ext cx="7915275" cy="4019550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G1" s="1" t="s">
        <v>1</v>
      </c>
      <c r="M1" s="1" t="s">
        <v>2</v>
      </c>
      <c r="S1" s="1" t="s">
        <v>3</v>
      </c>
      <c r="Y1" s="1" t="s">
        <v>4</v>
      </c>
      <c r="AE1" s="1" t="s">
        <v>5</v>
      </c>
      <c r="AK1" s="1" t="s">
        <v>6</v>
      </c>
      <c r="AQ1" s="1" t="s">
        <v>7</v>
      </c>
      <c r="AW1" s="1" t="s">
        <v>8</v>
      </c>
      <c r="BC1" s="1" t="s">
        <v>9</v>
      </c>
      <c r="BI1" s="1" t="s">
        <v>10</v>
      </c>
      <c r="BJ1" s="1"/>
      <c r="BK1" s="1"/>
      <c r="BL1" s="1"/>
      <c r="BM1" s="1"/>
      <c r="BN1" s="1"/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11</v>
      </c>
      <c r="H2" s="1" t="s">
        <v>12</v>
      </c>
      <c r="I2" s="1" t="s">
        <v>13</v>
      </c>
      <c r="J2" s="1" t="s">
        <v>14</v>
      </c>
      <c r="K2" s="1" t="s">
        <v>15</v>
      </c>
      <c r="L2" s="1" t="s">
        <v>16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11</v>
      </c>
      <c r="T2" s="1" t="s">
        <v>12</v>
      </c>
      <c r="U2" s="1" t="s">
        <v>13</v>
      </c>
      <c r="V2" s="1" t="s">
        <v>14</v>
      </c>
      <c r="W2" s="1" t="s">
        <v>15</v>
      </c>
      <c r="X2" s="1" t="s">
        <v>17</v>
      </c>
      <c r="Y2" s="1" t="s">
        <v>11</v>
      </c>
      <c r="Z2" s="1" t="s">
        <v>12</v>
      </c>
      <c r="AA2" s="1" t="s">
        <v>13</v>
      </c>
      <c r="AB2" s="1" t="s">
        <v>14</v>
      </c>
      <c r="AC2" s="1" t="s">
        <v>15</v>
      </c>
      <c r="AD2" s="1" t="s">
        <v>17</v>
      </c>
      <c r="AE2" s="1" t="s">
        <v>11</v>
      </c>
      <c r="AF2" s="1" t="s">
        <v>12</v>
      </c>
      <c r="AG2" s="1" t="s">
        <v>13</v>
      </c>
      <c r="AH2" s="1" t="s">
        <v>14</v>
      </c>
      <c r="AI2" s="1" t="s">
        <v>15</v>
      </c>
      <c r="AJ2" s="1" t="s">
        <v>17</v>
      </c>
      <c r="AK2" s="1" t="s">
        <v>11</v>
      </c>
      <c r="AL2" s="1" t="s">
        <v>12</v>
      </c>
      <c r="AM2" s="1" t="s">
        <v>13</v>
      </c>
      <c r="AN2" s="1" t="s">
        <v>14</v>
      </c>
      <c r="AO2" s="1" t="s">
        <v>15</v>
      </c>
      <c r="AP2" s="1" t="s">
        <v>17</v>
      </c>
      <c r="AQ2" s="1" t="s">
        <v>11</v>
      </c>
      <c r="AR2" s="1" t="s">
        <v>12</v>
      </c>
      <c r="AS2" s="1" t="s">
        <v>13</v>
      </c>
      <c r="AT2" s="1" t="s">
        <v>14</v>
      </c>
      <c r="AU2" s="1" t="s">
        <v>15</v>
      </c>
      <c r="AV2" s="1" t="s">
        <v>17</v>
      </c>
      <c r="AW2" s="1" t="s">
        <v>11</v>
      </c>
      <c r="AX2" s="1" t="s">
        <v>12</v>
      </c>
      <c r="AY2" s="1" t="s">
        <v>13</v>
      </c>
      <c r="AZ2" s="1" t="s">
        <v>14</v>
      </c>
      <c r="BA2" s="1" t="s">
        <v>15</v>
      </c>
      <c r="BB2" s="1" t="s">
        <v>17</v>
      </c>
      <c r="BC2" s="1" t="s">
        <v>11</v>
      </c>
      <c r="BD2" s="1" t="s">
        <v>12</v>
      </c>
      <c r="BE2" s="1" t="s">
        <v>13</v>
      </c>
      <c r="BF2" s="1" t="s">
        <v>14</v>
      </c>
      <c r="BG2" s="1" t="s">
        <v>15</v>
      </c>
      <c r="BH2" s="1" t="s">
        <v>17</v>
      </c>
      <c r="BI2" s="1" t="s">
        <v>11</v>
      </c>
      <c r="BJ2" s="1" t="s">
        <v>12</v>
      </c>
      <c r="BK2" s="1" t="s">
        <v>13</v>
      </c>
      <c r="BL2" s="1" t="s">
        <v>14</v>
      </c>
      <c r="BM2" s="1" t="s">
        <v>15</v>
      </c>
      <c r="BN2" s="1" t="s">
        <v>17</v>
      </c>
    </row>
    <row r="3">
      <c r="A3" s="1">
        <v>1.0</v>
      </c>
      <c r="B3" s="2">
        <v>31179.0</v>
      </c>
      <c r="C3" s="2">
        <v>15589.0</v>
      </c>
      <c r="D3" s="1">
        <v>1.0</v>
      </c>
      <c r="E3" s="1">
        <v>1.0</v>
      </c>
      <c r="F3" s="1">
        <v>100.0</v>
      </c>
      <c r="G3" s="1">
        <v>1.0</v>
      </c>
      <c r="H3" s="2">
        <v>31106.0</v>
      </c>
      <c r="I3" s="2">
        <v>15553.0</v>
      </c>
      <c r="J3" s="1">
        <v>1.0</v>
      </c>
      <c r="K3" s="1">
        <v>1.0</v>
      </c>
      <c r="L3" s="1">
        <v>100.0</v>
      </c>
      <c r="M3" s="1">
        <v>1.0</v>
      </c>
      <c r="N3" s="2">
        <v>31138.0</v>
      </c>
      <c r="O3" s="2">
        <v>15569.0</v>
      </c>
      <c r="P3" s="1">
        <v>1.0</v>
      </c>
      <c r="Q3" s="1">
        <v>1.0</v>
      </c>
      <c r="R3" s="1">
        <v>100.0</v>
      </c>
      <c r="S3" s="1">
        <v>1.0</v>
      </c>
      <c r="T3" s="2">
        <v>31151.0</v>
      </c>
      <c r="U3" s="2">
        <v>15575.0</v>
      </c>
      <c r="V3" s="1">
        <v>1.0</v>
      </c>
      <c r="W3" s="1">
        <v>1.0</v>
      </c>
      <c r="X3" s="1" t="s">
        <v>18</v>
      </c>
      <c r="Y3" s="1">
        <v>1.0</v>
      </c>
      <c r="Z3" s="2">
        <v>31033.0</v>
      </c>
      <c r="AA3" s="2">
        <v>15516.0</v>
      </c>
      <c r="AB3" s="1">
        <v>1.0</v>
      </c>
      <c r="AC3" s="1">
        <v>1.0</v>
      </c>
      <c r="AD3" s="1" t="s">
        <v>18</v>
      </c>
      <c r="AE3" s="1">
        <v>1.0</v>
      </c>
      <c r="AF3" s="2">
        <v>41963.0</v>
      </c>
      <c r="AG3" s="2">
        <v>20981.0</v>
      </c>
      <c r="AH3" s="1">
        <v>1.0</v>
      </c>
      <c r="AI3" s="1">
        <v>1.0</v>
      </c>
      <c r="AJ3" s="1" t="s">
        <v>18</v>
      </c>
      <c r="AK3" s="1">
        <v>1.0</v>
      </c>
      <c r="AL3" s="2">
        <v>49526.0</v>
      </c>
      <c r="AM3" s="2">
        <v>24763.0</v>
      </c>
      <c r="AN3" s="1">
        <v>1.0</v>
      </c>
      <c r="AO3" s="1">
        <v>1.0</v>
      </c>
      <c r="AP3" s="1" t="s">
        <v>18</v>
      </c>
      <c r="AQ3" s="1">
        <v>1.0</v>
      </c>
      <c r="AR3" s="2">
        <v>33284.0</v>
      </c>
      <c r="AS3" s="2">
        <v>16642.0</v>
      </c>
      <c r="AT3" s="1">
        <v>1.0</v>
      </c>
      <c r="AU3" s="1">
        <v>1.0</v>
      </c>
      <c r="AV3" s="1" t="s">
        <v>18</v>
      </c>
      <c r="AW3" s="1">
        <v>1.0</v>
      </c>
      <c r="AX3" s="2">
        <v>31020.0</v>
      </c>
      <c r="AY3" s="2">
        <v>15510.0</v>
      </c>
      <c r="AZ3" s="1">
        <v>1.0</v>
      </c>
      <c r="BA3" s="1">
        <v>1.0</v>
      </c>
      <c r="BB3" s="1" t="s">
        <v>18</v>
      </c>
      <c r="BC3" s="1">
        <v>1.0</v>
      </c>
      <c r="BD3" s="2">
        <v>31099.0</v>
      </c>
      <c r="BE3" s="2">
        <v>15549.0</v>
      </c>
      <c r="BF3" s="1">
        <v>1.0</v>
      </c>
      <c r="BG3" s="1">
        <v>1.0</v>
      </c>
      <c r="BH3" s="1" t="s">
        <v>18</v>
      </c>
      <c r="BI3" s="1">
        <v>1.0</v>
      </c>
      <c r="BJ3" s="2">
        <v>30140.0</v>
      </c>
      <c r="BK3" s="2">
        <v>15070.0</v>
      </c>
      <c r="BL3" s="1">
        <v>15.0</v>
      </c>
      <c r="BM3" s="1">
        <v>1.0</v>
      </c>
      <c r="BN3" s="1" t="s">
        <v>19</v>
      </c>
    </row>
    <row r="4">
      <c r="A4" s="1">
        <v>2.0</v>
      </c>
      <c r="B4" s="2">
        <v>30146.0</v>
      </c>
      <c r="C4" s="2">
        <v>15073.0</v>
      </c>
      <c r="D4" s="1">
        <v>2.0</v>
      </c>
      <c r="E4" s="1">
        <v>2.0</v>
      </c>
      <c r="F4" s="1">
        <v>100.0</v>
      </c>
      <c r="G4" s="1">
        <v>2.0</v>
      </c>
      <c r="H4" s="2">
        <v>30133.0</v>
      </c>
      <c r="I4" s="2">
        <v>15066.0</v>
      </c>
      <c r="J4" s="1">
        <v>2.0</v>
      </c>
      <c r="K4" s="1">
        <v>2.0</v>
      </c>
      <c r="L4" s="1">
        <v>100.0</v>
      </c>
      <c r="M4" s="1">
        <v>2.0</v>
      </c>
      <c r="N4" s="2">
        <v>30142.0</v>
      </c>
      <c r="O4" s="2">
        <v>15071.0</v>
      </c>
      <c r="P4" s="1">
        <v>2.0</v>
      </c>
      <c r="Q4" s="1">
        <v>2.0</v>
      </c>
      <c r="R4" s="1">
        <v>100.0</v>
      </c>
      <c r="S4" s="1">
        <v>2.0</v>
      </c>
      <c r="T4" s="2">
        <v>30043.0</v>
      </c>
      <c r="U4" s="2">
        <v>15021.0</v>
      </c>
      <c r="V4" s="1">
        <v>2.0</v>
      </c>
      <c r="W4" s="1">
        <v>2.0</v>
      </c>
      <c r="X4" s="1" t="s">
        <v>18</v>
      </c>
      <c r="Y4" s="1">
        <v>2.0</v>
      </c>
      <c r="Z4" s="2">
        <v>30066.0</v>
      </c>
      <c r="AA4" s="2">
        <v>15033.0</v>
      </c>
      <c r="AB4" s="1">
        <v>2.0</v>
      </c>
      <c r="AC4" s="1">
        <v>2.0</v>
      </c>
      <c r="AD4" s="1" t="s">
        <v>18</v>
      </c>
      <c r="AE4" s="1">
        <v>2.0</v>
      </c>
      <c r="AF4" s="2">
        <v>30134.0</v>
      </c>
      <c r="AG4" s="2">
        <v>15067.0</v>
      </c>
      <c r="AH4" s="1">
        <v>2.0</v>
      </c>
      <c r="AI4" s="1">
        <v>2.0</v>
      </c>
      <c r="AJ4" s="1" t="s">
        <v>18</v>
      </c>
      <c r="AK4" s="1">
        <v>2.0</v>
      </c>
      <c r="AL4" s="2">
        <v>30105.0</v>
      </c>
      <c r="AM4" s="2">
        <v>15052.0</v>
      </c>
      <c r="AN4" s="1">
        <v>2.0</v>
      </c>
      <c r="AO4" s="1">
        <v>2.0</v>
      </c>
      <c r="AP4" s="1" t="s">
        <v>18</v>
      </c>
      <c r="AQ4" s="1">
        <v>2.0</v>
      </c>
      <c r="AR4" s="2">
        <v>41849.0</v>
      </c>
      <c r="AS4" s="2">
        <v>20924.0</v>
      </c>
      <c r="AT4" s="1">
        <v>2.0</v>
      </c>
      <c r="AU4" s="1">
        <v>2.0</v>
      </c>
      <c r="AV4" s="1" t="s">
        <v>18</v>
      </c>
      <c r="AW4" s="1">
        <v>2.0</v>
      </c>
      <c r="AX4" s="2">
        <v>30077.0</v>
      </c>
      <c r="AY4" s="2">
        <v>15038.0</v>
      </c>
      <c r="AZ4" s="1">
        <v>2.0</v>
      </c>
      <c r="BA4" s="1">
        <v>2.0</v>
      </c>
      <c r="BB4" s="1" t="s">
        <v>18</v>
      </c>
      <c r="BC4" s="1">
        <v>2.0</v>
      </c>
      <c r="BD4" s="2">
        <v>47249.0</v>
      </c>
      <c r="BE4" s="2">
        <v>23624.0</v>
      </c>
      <c r="BF4" s="1">
        <v>3.0</v>
      </c>
      <c r="BG4" s="1">
        <v>2.0</v>
      </c>
      <c r="BH4" s="1" t="s">
        <v>20</v>
      </c>
      <c r="BI4" s="1">
        <v>2.0</v>
      </c>
      <c r="BJ4" s="2">
        <v>39507.0</v>
      </c>
      <c r="BK4" s="2">
        <v>19753.0</v>
      </c>
      <c r="BL4" s="1">
        <v>19.0</v>
      </c>
      <c r="BM4" s="1">
        <v>2.0</v>
      </c>
      <c r="BN4" s="1" t="s">
        <v>21</v>
      </c>
    </row>
    <row r="5">
      <c r="A5" s="1">
        <v>3.0</v>
      </c>
      <c r="B5" s="2">
        <v>30000.0</v>
      </c>
      <c r="C5" s="2">
        <v>15000.0</v>
      </c>
      <c r="D5" s="1">
        <v>3.0</v>
      </c>
      <c r="E5" s="1">
        <v>3.0</v>
      </c>
      <c r="F5" s="1">
        <v>100.0</v>
      </c>
      <c r="G5" s="1">
        <v>3.0</v>
      </c>
      <c r="H5" s="2">
        <v>30107.0</v>
      </c>
      <c r="I5" s="2">
        <v>15053.0</v>
      </c>
      <c r="J5" s="1">
        <v>3.0</v>
      </c>
      <c r="K5" s="1">
        <v>3.0</v>
      </c>
      <c r="L5" s="1">
        <v>100.0</v>
      </c>
      <c r="M5" s="1">
        <v>3.0</v>
      </c>
      <c r="N5" s="2">
        <v>30032.0</v>
      </c>
      <c r="O5" s="2">
        <v>15016.0</v>
      </c>
      <c r="P5" s="1">
        <v>3.0</v>
      </c>
      <c r="Q5" s="1">
        <v>3.0</v>
      </c>
      <c r="R5" s="1">
        <v>100.0</v>
      </c>
      <c r="S5" s="1">
        <v>3.0</v>
      </c>
      <c r="T5" s="2">
        <v>30042.0</v>
      </c>
      <c r="U5" s="2">
        <v>15021.0</v>
      </c>
      <c r="V5" s="1">
        <v>3.0</v>
      </c>
      <c r="W5" s="1">
        <v>3.0</v>
      </c>
      <c r="X5" s="1" t="s">
        <v>18</v>
      </c>
      <c r="Y5" s="1">
        <v>3.0</v>
      </c>
      <c r="Z5" s="2">
        <v>29946.0</v>
      </c>
      <c r="AA5" s="2">
        <v>14973.0</v>
      </c>
      <c r="AB5" s="1">
        <v>3.0</v>
      </c>
      <c r="AC5" s="1">
        <v>3.0</v>
      </c>
      <c r="AD5" s="1" t="s">
        <v>18</v>
      </c>
      <c r="AE5" s="1">
        <v>3.0</v>
      </c>
      <c r="AF5" s="2">
        <v>30029.0</v>
      </c>
      <c r="AG5" s="2">
        <v>15014.0</v>
      </c>
      <c r="AH5" s="1">
        <v>3.0</v>
      </c>
      <c r="AI5" s="1">
        <v>3.0</v>
      </c>
      <c r="AJ5" s="1" t="s">
        <v>18</v>
      </c>
      <c r="AK5" s="1">
        <v>3.0</v>
      </c>
      <c r="AL5" s="2">
        <v>30030.0</v>
      </c>
      <c r="AM5" s="2">
        <v>15015.0</v>
      </c>
      <c r="AN5" s="1">
        <v>4.0</v>
      </c>
      <c r="AO5" s="1">
        <v>3.0</v>
      </c>
      <c r="AP5" s="1" t="s">
        <v>22</v>
      </c>
      <c r="AQ5" s="1">
        <v>3.0</v>
      </c>
      <c r="AR5" s="2">
        <v>30931.0</v>
      </c>
      <c r="AS5" s="2">
        <v>15465.0</v>
      </c>
      <c r="AT5" s="1">
        <v>4.0</v>
      </c>
      <c r="AU5" s="1">
        <v>3.0</v>
      </c>
      <c r="AV5" s="1" t="s">
        <v>22</v>
      </c>
      <c r="AW5" s="1">
        <v>3.0</v>
      </c>
      <c r="AX5" s="2">
        <v>29962.0</v>
      </c>
      <c r="AY5" s="2">
        <v>14981.0</v>
      </c>
      <c r="AZ5" s="1">
        <v>3.0</v>
      </c>
      <c r="BA5" s="1">
        <v>3.0</v>
      </c>
      <c r="BB5" s="1" t="s">
        <v>18</v>
      </c>
      <c r="BC5" s="1">
        <v>3.0</v>
      </c>
      <c r="BD5" s="2">
        <v>43746.0</v>
      </c>
      <c r="BE5" s="2">
        <v>21873.0</v>
      </c>
      <c r="BF5" s="1">
        <v>4.0</v>
      </c>
      <c r="BG5" s="1">
        <v>3.0</v>
      </c>
      <c r="BH5" s="1" t="s">
        <v>22</v>
      </c>
      <c r="BI5" s="1">
        <v>3.0</v>
      </c>
      <c r="BJ5" s="2">
        <v>39529.0</v>
      </c>
      <c r="BK5" s="2">
        <v>19764.0</v>
      </c>
      <c r="BL5" s="1">
        <v>53.0</v>
      </c>
      <c r="BM5" s="1">
        <v>3.0</v>
      </c>
      <c r="BN5" s="1">
        <v>5.66</v>
      </c>
    </row>
    <row r="6">
      <c r="A6" s="1">
        <v>4.0</v>
      </c>
      <c r="B6" s="2">
        <v>30045.0</v>
      </c>
      <c r="C6" s="2">
        <v>15022.0</v>
      </c>
      <c r="D6" s="1">
        <v>4.0</v>
      </c>
      <c r="E6" s="1">
        <v>4.0</v>
      </c>
      <c r="F6" s="1">
        <v>100.0</v>
      </c>
      <c r="G6" s="1">
        <v>4.0</v>
      </c>
      <c r="H6" s="2">
        <v>30133.0</v>
      </c>
      <c r="I6" s="2">
        <v>15066.0</v>
      </c>
      <c r="J6" s="1">
        <v>4.0</v>
      </c>
      <c r="K6" s="1">
        <v>4.0</v>
      </c>
      <c r="L6" s="1">
        <v>100.0</v>
      </c>
      <c r="M6" s="1">
        <v>4.0</v>
      </c>
      <c r="N6" s="2">
        <v>33278.0</v>
      </c>
      <c r="O6" s="2">
        <v>16639.0</v>
      </c>
      <c r="P6" s="1">
        <v>4.0</v>
      </c>
      <c r="Q6" s="1">
        <v>4.0</v>
      </c>
      <c r="R6" s="1">
        <v>100.0</v>
      </c>
      <c r="S6" s="1">
        <v>4.0</v>
      </c>
      <c r="T6" s="2">
        <v>30130.0</v>
      </c>
      <c r="U6" s="2">
        <v>15065.0</v>
      </c>
      <c r="V6" s="1">
        <v>4.0</v>
      </c>
      <c r="W6" s="1">
        <v>4.0</v>
      </c>
      <c r="X6" s="1" t="s">
        <v>18</v>
      </c>
      <c r="Y6" s="1">
        <v>4.0</v>
      </c>
      <c r="Z6" s="2">
        <v>30179.0</v>
      </c>
      <c r="AA6" s="2">
        <v>15089.0</v>
      </c>
      <c r="AB6" s="1">
        <v>4.0</v>
      </c>
      <c r="AC6" s="1">
        <v>4.0</v>
      </c>
      <c r="AD6" s="1" t="s">
        <v>18</v>
      </c>
      <c r="AE6" s="1">
        <v>4.0</v>
      </c>
      <c r="AF6" s="2">
        <v>30093.0</v>
      </c>
      <c r="AG6" s="2">
        <v>15046.0</v>
      </c>
      <c r="AH6" s="1">
        <v>4.0</v>
      </c>
      <c r="AI6" s="1">
        <v>4.0</v>
      </c>
      <c r="AJ6" s="1" t="s">
        <v>18</v>
      </c>
      <c r="AK6" s="1">
        <v>4.0</v>
      </c>
      <c r="AL6" s="2">
        <v>29934.0</v>
      </c>
      <c r="AM6" s="2">
        <v>14967.0</v>
      </c>
      <c r="AN6" s="1">
        <v>5.0</v>
      </c>
      <c r="AO6" s="1">
        <v>4.0</v>
      </c>
      <c r="AP6" s="1" t="s">
        <v>23</v>
      </c>
      <c r="AQ6" s="1">
        <v>4.0</v>
      </c>
      <c r="AR6" s="2">
        <v>38811.0</v>
      </c>
      <c r="AS6" s="2">
        <v>19405.0</v>
      </c>
      <c r="AT6" s="1">
        <v>5.0</v>
      </c>
      <c r="AU6" s="1">
        <v>4.0</v>
      </c>
      <c r="AV6" s="1" t="s">
        <v>23</v>
      </c>
      <c r="AW6" s="1">
        <v>4.0</v>
      </c>
      <c r="AX6" s="2">
        <v>30078.0</v>
      </c>
      <c r="AY6" s="2">
        <v>15039.0</v>
      </c>
      <c r="AZ6" s="1">
        <v>4.0</v>
      </c>
      <c r="BA6" s="1">
        <v>4.0</v>
      </c>
      <c r="BB6" s="1" t="s">
        <v>18</v>
      </c>
      <c r="BC6" s="1">
        <v>4.0</v>
      </c>
      <c r="BD6" s="2">
        <v>30100.0</v>
      </c>
      <c r="BE6" s="2">
        <v>15050.0</v>
      </c>
      <c r="BF6" s="1">
        <v>6.0</v>
      </c>
      <c r="BG6" s="1">
        <v>4.0</v>
      </c>
      <c r="BH6" s="1" t="s">
        <v>20</v>
      </c>
      <c r="BI6" s="1"/>
      <c r="BJ6" s="1"/>
      <c r="BK6" s="1"/>
      <c r="BL6" s="1"/>
      <c r="BM6" s="1"/>
      <c r="BN6" s="1"/>
    </row>
    <row r="7">
      <c r="A7" s="1">
        <v>5.0</v>
      </c>
      <c r="B7" s="2">
        <v>29973.0</v>
      </c>
      <c r="C7" s="2">
        <v>14986.0</v>
      </c>
      <c r="D7" s="1">
        <v>5.0</v>
      </c>
      <c r="E7" s="1">
        <v>5.0</v>
      </c>
      <c r="F7" s="1">
        <v>100.0</v>
      </c>
      <c r="G7" s="1">
        <v>5.0</v>
      </c>
      <c r="H7" s="2">
        <v>29959.0</v>
      </c>
      <c r="I7" s="2">
        <v>14979.0</v>
      </c>
      <c r="J7" s="1">
        <v>5.0</v>
      </c>
      <c r="K7" s="1">
        <v>5.0</v>
      </c>
      <c r="L7" s="1">
        <v>100.0</v>
      </c>
      <c r="M7" s="1">
        <v>5.0</v>
      </c>
      <c r="N7" s="2">
        <v>30055.0</v>
      </c>
      <c r="O7" s="2">
        <v>15027.0</v>
      </c>
      <c r="P7" s="1">
        <v>5.0</v>
      </c>
      <c r="Q7" s="1">
        <v>5.0</v>
      </c>
      <c r="R7" s="1">
        <v>100.0</v>
      </c>
      <c r="S7" s="1">
        <v>5.0</v>
      </c>
      <c r="T7" s="2">
        <v>31240.0</v>
      </c>
      <c r="U7" s="2">
        <v>15620.0</v>
      </c>
      <c r="V7" s="1">
        <v>5.0</v>
      </c>
      <c r="W7" s="1">
        <v>5.0</v>
      </c>
      <c r="X7" s="1" t="s">
        <v>18</v>
      </c>
      <c r="Y7" s="1">
        <v>5.0</v>
      </c>
      <c r="Z7" s="2">
        <v>29981.0</v>
      </c>
      <c r="AA7" s="2">
        <v>14990.0</v>
      </c>
      <c r="AB7" s="1">
        <v>5.0</v>
      </c>
      <c r="AC7" s="1">
        <v>5.0</v>
      </c>
      <c r="AD7" s="1" t="s">
        <v>18</v>
      </c>
      <c r="AE7" s="1">
        <v>5.0</v>
      </c>
      <c r="AF7" s="2">
        <v>29996.0</v>
      </c>
      <c r="AG7" s="2">
        <v>14998.0</v>
      </c>
      <c r="AH7" s="1">
        <v>5.0</v>
      </c>
      <c r="AI7" s="1">
        <v>5.0</v>
      </c>
      <c r="AJ7" s="1" t="s">
        <v>18</v>
      </c>
      <c r="AK7" s="1">
        <v>5.0</v>
      </c>
      <c r="AL7" s="2">
        <v>30049.0</v>
      </c>
      <c r="AM7" s="2">
        <v>15024.0</v>
      </c>
      <c r="AN7" s="1">
        <v>6.0</v>
      </c>
      <c r="AO7" s="1">
        <v>5.0</v>
      </c>
      <c r="AP7" s="1" t="s">
        <v>24</v>
      </c>
      <c r="AQ7" s="1">
        <v>5.0</v>
      </c>
      <c r="AR7" s="2">
        <v>37009.0</v>
      </c>
      <c r="AS7" s="2">
        <v>18504.0</v>
      </c>
      <c r="AT7" s="1">
        <v>6.0</v>
      </c>
      <c r="AU7" s="1">
        <v>5.0</v>
      </c>
      <c r="AV7" s="1" t="s">
        <v>24</v>
      </c>
      <c r="AW7" s="1">
        <v>5.0</v>
      </c>
      <c r="AX7" s="2">
        <v>29956.0</v>
      </c>
      <c r="AY7" s="2">
        <v>14978.0</v>
      </c>
      <c r="AZ7" s="1">
        <v>5.0</v>
      </c>
      <c r="BA7" s="1">
        <v>5.0</v>
      </c>
      <c r="BB7" s="1" t="s">
        <v>18</v>
      </c>
      <c r="BC7" s="1">
        <v>5.0</v>
      </c>
      <c r="BD7" s="2">
        <v>29946.0</v>
      </c>
      <c r="BE7" s="2">
        <v>14973.0</v>
      </c>
      <c r="BF7" s="1">
        <v>7.0</v>
      </c>
      <c r="BG7" s="1">
        <v>5.0</v>
      </c>
      <c r="BH7" s="1" t="s">
        <v>25</v>
      </c>
      <c r="BI7" s="1"/>
      <c r="BJ7" s="1"/>
      <c r="BK7" s="1"/>
      <c r="BL7" s="1"/>
      <c r="BM7" s="1"/>
      <c r="BN7" s="1"/>
    </row>
    <row r="8">
      <c r="A8" s="1">
        <v>6.0</v>
      </c>
      <c r="B8" s="2">
        <v>30134.0</v>
      </c>
      <c r="C8" s="2">
        <v>15067.0</v>
      </c>
      <c r="D8" s="1">
        <v>6.0</v>
      </c>
      <c r="E8" s="1">
        <v>6.0</v>
      </c>
      <c r="F8" s="1">
        <v>100.0</v>
      </c>
      <c r="G8" s="1">
        <v>6.0</v>
      </c>
      <c r="H8" s="2">
        <v>30134.0</v>
      </c>
      <c r="I8" s="2">
        <v>15067.0</v>
      </c>
      <c r="J8" s="1">
        <v>6.0</v>
      </c>
      <c r="K8" s="1">
        <v>6.0</v>
      </c>
      <c r="L8" s="1">
        <v>100.0</v>
      </c>
      <c r="M8" s="1">
        <v>6.0</v>
      </c>
      <c r="N8" s="2">
        <v>30158.0</v>
      </c>
      <c r="O8" s="2">
        <v>15079.0</v>
      </c>
      <c r="P8" s="1">
        <v>6.0</v>
      </c>
      <c r="Q8" s="1">
        <v>6.0</v>
      </c>
      <c r="R8" s="1">
        <v>100.0</v>
      </c>
      <c r="S8" s="1">
        <v>6.0</v>
      </c>
      <c r="T8" s="2">
        <v>30120.0</v>
      </c>
      <c r="U8" s="2">
        <v>15060.0</v>
      </c>
      <c r="V8" s="1">
        <v>6.0</v>
      </c>
      <c r="W8" s="1">
        <v>6.0</v>
      </c>
      <c r="X8" s="1" t="s">
        <v>18</v>
      </c>
      <c r="Y8" s="1">
        <v>6.0</v>
      </c>
      <c r="Z8" s="2">
        <v>30084.0</v>
      </c>
      <c r="AA8" s="2">
        <v>15042.0</v>
      </c>
      <c r="AB8" s="1">
        <v>6.0</v>
      </c>
      <c r="AC8" s="1">
        <v>6.0</v>
      </c>
      <c r="AD8" s="1" t="s">
        <v>18</v>
      </c>
      <c r="AE8" s="1">
        <v>6.0</v>
      </c>
      <c r="AF8" s="2">
        <v>30079.0</v>
      </c>
      <c r="AG8" s="2">
        <v>15039.0</v>
      </c>
      <c r="AH8" s="1">
        <v>6.0</v>
      </c>
      <c r="AI8" s="1">
        <v>6.0</v>
      </c>
      <c r="AJ8" s="1" t="s">
        <v>18</v>
      </c>
      <c r="AK8" s="1">
        <v>6.0</v>
      </c>
      <c r="AL8" s="2">
        <v>29932.0</v>
      </c>
      <c r="AM8" s="2">
        <v>14966.0</v>
      </c>
      <c r="AN8" s="1">
        <v>7.0</v>
      </c>
      <c r="AO8" s="1">
        <v>6.0</v>
      </c>
      <c r="AP8" s="1" t="s">
        <v>26</v>
      </c>
      <c r="AQ8" s="1">
        <v>6.0</v>
      </c>
      <c r="AR8" s="2">
        <v>29890.0</v>
      </c>
      <c r="AS8" s="2">
        <v>14945.0</v>
      </c>
      <c r="AT8" s="1">
        <v>7.0</v>
      </c>
      <c r="AU8" s="1">
        <v>6.0</v>
      </c>
      <c r="AV8" s="1" t="s">
        <v>26</v>
      </c>
      <c r="AW8" s="1">
        <v>6.0</v>
      </c>
      <c r="AX8" s="2">
        <v>30029.0</v>
      </c>
      <c r="AY8" s="2">
        <v>15014.0</v>
      </c>
      <c r="AZ8" s="1">
        <v>6.0</v>
      </c>
      <c r="BA8" s="1">
        <v>6.0</v>
      </c>
      <c r="BB8" s="1" t="s">
        <v>18</v>
      </c>
      <c r="BC8" s="1">
        <v>6.0</v>
      </c>
      <c r="BD8" s="2">
        <v>30025.0</v>
      </c>
      <c r="BE8" s="2">
        <v>15012.0</v>
      </c>
      <c r="BF8" s="1">
        <v>8.0</v>
      </c>
      <c r="BG8" s="1">
        <v>6.0</v>
      </c>
      <c r="BH8" s="1" t="s">
        <v>22</v>
      </c>
      <c r="BI8" s="1"/>
      <c r="BJ8" s="1"/>
      <c r="BK8" s="1"/>
      <c r="BL8" s="1"/>
      <c r="BM8" s="1"/>
      <c r="BN8" s="1"/>
    </row>
    <row r="9">
      <c r="A9" s="1">
        <v>7.0</v>
      </c>
      <c r="B9" s="2">
        <v>30069.0</v>
      </c>
      <c r="C9" s="2">
        <v>15034.0</v>
      </c>
      <c r="D9" s="1">
        <v>7.0</v>
      </c>
      <c r="E9" s="1">
        <v>7.0</v>
      </c>
      <c r="F9" s="1">
        <v>100.0</v>
      </c>
      <c r="G9" s="1">
        <v>7.0</v>
      </c>
      <c r="H9" s="2">
        <v>30077.0</v>
      </c>
      <c r="I9" s="2">
        <v>15038.0</v>
      </c>
      <c r="J9" s="1">
        <v>7.0</v>
      </c>
      <c r="K9" s="1">
        <v>7.0</v>
      </c>
      <c r="L9" s="1">
        <v>100.0</v>
      </c>
      <c r="M9" s="1">
        <v>7.0</v>
      </c>
      <c r="N9" s="2">
        <v>30016.0</v>
      </c>
      <c r="O9" s="2">
        <v>15008.0</v>
      </c>
      <c r="P9" s="1">
        <v>7.0</v>
      </c>
      <c r="Q9" s="1">
        <v>7.0</v>
      </c>
      <c r="R9" s="1">
        <v>100.0</v>
      </c>
      <c r="S9" s="1">
        <v>7.0</v>
      </c>
      <c r="T9" s="2">
        <v>30027.0</v>
      </c>
      <c r="U9" s="2">
        <v>15013.0</v>
      </c>
      <c r="V9" s="1">
        <v>7.0</v>
      </c>
      <c r="W9" s="1">
        <v>7.0</v>
      </c>
      <c r="X9" s="1" t="s">
        <v>18</v>
      </c>
      <c r="Y9" s="1">
        <v>7.0</v>
      </c>
      <c r="Z9" s="2">
        <v>29952.0</v>
      </c>
      <c r="AA9" s="2">
        <v>14976.0</v>
      </c>
      <c r="AB9" s="1">
        <v>7.0</v>
      </c>
      <c r="AC9" s="1">
        <v>7.0</v>
      </c>
      <c r="AD9" s="1" t="s">
        <v>18</v>
      </c>
      <c r="AE9" s="1">
        <v>7.0</v>
      </c>
      <c r="AF9" s="2">
        <v>30002.0</v>
      </c>
      <c r="AG9" s="2">
        <v>15001.0</v>
      </c>
      <c r="AH9" s="1">
        <v>7.0</v>
      </c>
      <c r="AI9" s="1">
        <v>7.0</v>
      </c>
      <c r="AJ9" s="1" t="s">
        <v>18</v>
      </c>
      <c r="AK9" s="1">
        <v>7.0</v>
      </c>
      <c r="AL9" s="2">
        <v>29930.0</v>
      </c>
      <c r="AM9" s="2">
        <v>14965.0</v>
      </c>
      <c r="AN9" s="1">
        <v>8.0</v>
      </c>
      <c r="AO9" s="1">
        <v>7.0</v>
      </c>
      <c r="AP9" s="1" t="s">
        <v>27</v>
      </c>
      <c r="AQ9" s="1">
        <v>7.0</v>
      </c>
      <c r="AR9" s="2">
        <v>47092.0</v>
      </c>
      <c r="AS9" s="2">
        <v>23546.0</v>
      </c>
      <c r="AT9" s="1">
        <v>11.0</v>
      </c>
      <c r="AU9" s="1">
        <v>7.0</v>
      </c>
      <c r="AV9" s="1" t="s">
        <v>28</v>
      </c>
      <c r="AW9" s="1">
        <v>7.0</v>
      </c>
      <c r="AX9" s="2">
        <v>30948.0</v>
      </c>
      <c r="AY9" s="2">
        <v>15474.0</v>
      </c>
      <c r="AZ9" s="1">
        <v>7.0</v>
      </c>
      <c r="BA9" s="1">
        <v>7.0</v>
      </c>
      <c r="BB9" s="1" t="s">
        <v>18</v>
      </c>
      <c r="BC9" s="1">
        <v>7.0</v>
      </c>
      <c r="BD9" s="2">
        <v>29973.0</v>
      </c>
      <c r="BE9" s="2">
        <v>14986.0</v>
      </c>
      <c r="BF9" s="1">
        <v>10.0</v>
      </c>
      <c r="BG9" s="1">
        <v>7.0</v>
      </c>
      <c r="BH9" s="1" t="s">
        <v>29</v>
      </c>
      <c r="BI9" s="1"/>
      <c r="BJ9" s="1"/>
      <c r="BK9" s="1"/>
      <c r="BL9" s="1"/>
      <c r="BM9" s="1"/>
      <c r="BN9" s="1"/>
    </row>
    <row r="10">
      <c r="A10" s="1">
        <v>8.0</v>
      </c>
      <c r="B10" s="2">
        <v>30027.0</v>
      </c>
      <c r="C10" s="2">
        <v>15013.0</v>
      </c>
      <c r="D10" s="1">
        <v>8.0</v>
      </c>
      <c r="E10" s="1">
        <v>8.0</v>
      </c>
      <c r="F10" s="1">
        <v>100.0</v>
      </c>
      <c r="G10" s="1">
        <v>8.0</v>
      </c>
      <c r="H10" s="2">
        <v>30032.0</v>
      </c>
      <c r="I10" s="2">
        <v>15016.0</v>
      </c>
      <c r="J10" s="1">
        <v>8.0</v>
      </c>
      <c r="K10" s="1">
        <v>8.0</v>
      </c>
      <c r="L10" s="1">
        <v>100.0</v>
      </c>
      <c r="M10" s="1">
        <v>8.0</v>
      </c>
      <c r="N10" s="2">
        <v>30032.0</v>
      </c>
      <c r="O10" s="2">
        <v>15016.0</v>
      </c>
      <c r="P10" s="1">
        <v>8.0</v>
      </c>
      <c r="Q10" s="1">
        <v>8.0</v>
      </c>
      <c r="R10" s="1">
        <v>100.0</v>
      </c>
      <c r="S10" s="1">
        <v>8.0</v>
      </c>
      <c r="T10" s="2">
        <v>30059.0</v>
      </c>
      <c r="U10" s="2">
        <v>15029.0</v>
      </c>
      <c r="V10" s="1">
        <v>8.0</v>
      </c>
      <c r="W10" s="1">
        <v>8.0</v>
      </c>
      <c r="X10" s="1" t="s">
        <v>18</v>
      </c>
      <c r="Y10" s="1">
        <v>8.0</v>
      </c>
      <c r="Z10" s="2">
        <v>29918.0</v>
      </c>
      <c r="AA10" s="2">
        <v>14959.0</v>
      </c>
      <c r="AB10" s="1">
        <v>8.0</v>
      </c>
      <c r="AC10" s="1">
        <v>8.0</v>
      </c>
      <c r="AD10" s="1" t="s">
        <v>18</v>
      </c>
      <c r="AE10" s="1">
        <v>8.0</v>
      </c>
      <c r="AF10" s="2">
        <v>29877.0</v>
      </c>
      <c r="AG10" s="2">
        <v>14938.0</v>
      </c>
      <c r="AH10" s="1">
        <v>8.0</v>
      </c>
      <c r="AI10" s="1">
        <v>8.0</v>
      </c>
      <c r="AJ10" s="1" t="s">
        <v>18</v>
      </c>
      <c r="AK10" s="1">
        <v>8.0</v>
      </c>
      <c r="AL10" s="2">
        <v>29909.0</v>
      </c>
      <c r="AM10" s="2">
        <v>14954.0</v>
      </c>
      <c r="AN10" s="1">
        <v>9.0</v>
      </c>
      <c r="AO10" s="1">
        <v>8.0</v>
      </c>
      <c r="AP10" s="1" t="s">
        <v>30</v>
      </c>
      <c r="AQ10" s="1">
        <v>8.0</v>
      </c>
      <c r="AR10" s="2">
        <v>32732.0</v>
      </c>
      <c r="AS10" s="2">
        <v>16366.0</v>
      </c>
      <c r="AT10" s="1">
        <v>12.0</v>
      </c>
      <c r="AU10" s="1">
        <v>8.0</v>
      </c>
      <c r="AV10" s="1" t="s">
        <v>20</v>
      </c>
      <c r="AW10" s="1">
        <v>8.0</v>
      </c>
      <c r="AX10" s="2">
        <v>29989.0</v>
      </c>
      <c r="AY10" s="2">
        <v>14994.0</v>
      </c>
      <c r="AZ10" s="1">
        <v>8.0</v>
      </c>
      <c r="BA10" s="1">
        <v>8.0</v>
      </c>
      <c r="BB10" s="1" t="s">
        <v>18</v>
      </c>
      <c r="BC10" s="1">
        <v>8.0</v>
      </c>
      <c r="BD10" s="2">
        <v>30024.0</v>
      </c>
      <c r="BE10" s="2">
        <v>15012.0</v>
      </c>
      <c r="BF10" s="1">
        <v>11.0</v>
      </c>
      <c r="BG10" s="1">
        <v>8.0</v>
      </c>
      <c r="BH10" s="1" t="s">
        <v>31</v>
      </c>
      <c r="BI10" s="1"/>
      <c r="BJ10" s="1"/>
      <c r="BK10" s="1"/>
      <c r="BL10" s="1"/>
      <c r="BM10" s="1"/>
      <c r="BN10" s="1"/>
    </row>
    <row r="11">
      <c r="A11" s="1">
        <v>9.0</v>
      </c>
      <c r="B11" s="2">
        <v>30045.0</v>
      </c>
      <c r="C11" s="2">
        <v>15022.0</v>
      </c>
      <c r="D11" s="1">
        <v>9.0</v>
      </c>
      <c r="E11" s="1">
        <v>9.0</v>
      </c>
      <c r="F11" s="1">
        <v>100.0</v>
      </c>
      <c r="G11" s="1">
        <v>9.0</v>
      </c>
      <c r="H11" s="2">
        <v>30062.0</v>
      </c>
      <c r="I11" s="2">
        <v>15031.0</v>
      </c>
      <c r="J11" s="1">
        <v>9.0</v>
      </c>
      <c r="K11" s="1">
        <v>9.0</v>
      </c>
      <c r="L11" s="1">
        <v>100.0</v>
      </c>
      <c r="M11" s="1">
        <v>9.0</v>
      </c>
      <c r="N11" s="2">
        <v>30026.0</v>
      </c>
      <c r="O11" s="2">
        <v>15013.0</v>
      </c>
      <c r="P11" s="1">
        <v>9.0</v>
      </c>
      <c r="Q11" s="1">
        <v>9.0</v>
      </c>
      <c r="R11" s="1">
        <v>100.0</v>
      </c>
      <c r="S11" s="1">
        <v>9.0</v>
      </c>
      <c r="T11" s="2">
        <v>30037.0</v>
      </c>
      <c r="U11" s="2">
        <v>15018.0</v>
      </c>
      <c r="V11" s="1">
        <v>9.0</v>
      </c>
      <c r="W11" s="1">
        <v>9.0</v>
      </c>
      <c r="X11" s="1" t="s">
        <v>18</v>
      </c>
      <c r="Y11" s="1">
        <v>9.0</v>
      </c>
      <c r="Z11" s="2">
        <v>30002.0</v>
      </c>
      <c r="AA11" s="2">
        <v>15001.0</v>
      </c>
      <c r="AB11" s="1">
        <v>9.0</v>
      </c>
      <c r="AC11" s="1">
        <v>9.0</v>
      </c>
      <c r="AD11" s="1" t="s">
        <v>18</v>
      </c>
      <c r="AE11" s="1">
        <v>9.0</v>
      </c>
      <c r="AF11" s="2">
        <v>29973.0</v>
      </c>
      <c r="AG11" s="2">
        <v>14986.0</v>
      </c>
      <c r="AH11" s="1">
        <v>9.0</v>
      </c>
      <c r="AI11" s="1">
        <v>9.0</v>
      </c>
      <c r="AJ11" s="1" t="s">
        <v>18</v>
      </c>
      <c r="AK11" s="1">
        <v>9.0</v>
      </c>
      <c r="AL11" s="2">
        <v>29930.0</v>
      </c>
      <c r="AM11" s="2">
        <v>14965.0</v>
      </c>
      <c r="AN11" s="1">
        <v>10.0</v>
      </c>
      <c r="AO11" s="1">
        <v>9.0</v>
      </c>
      <c r="AP11" s="1" t="s">
        <v>32</v>
      </c>
      <c r="AQ11" s="1">
        <v>9.0</v>
      </c>
      <c r="AR11" s="2">
        <v>31873.0</v>
      </c>
      <c r="AS11" s="2">
        <v>15936.0</v>
      </c>
      <c r="AT11" s="1">
        <v>15.0</v>
      </c>
      <c r="AU11" s="1">
        <v>9.0</v>
      </c>
      <c r="AV11" s="1" t="s">
        <v>33</v>
      </c>
      <c r="AW11" s="1">
        <v>9.0</v>
      </c>
      <c r="AX11" s="2">
        <v>29958.0</v>
      </c>
      <c r="AY11" s="2">
        <v>14979.0</v>
      </c>
      <c r="AZ11" s="1">
        <v>9.0</v>
      </c>
      <c r="BA11" s="1">
        <v>9.0</v>
      </c>
      <c r="BB11" s="1" t="s">
        <v>18</v>
      </c>
      <c r="BC11" s="1">
        <v>9.0</v>
      </c>
      <c r="BD11" s="2">
        <v>30963.0</v>
      </c>
      <c r="BE11" s="2">
        <v>15481.0</v>
      </c>
      <c r="BF11" s="1">
        <v>14.0</v>
      </c>
      <c r="BG11" s="1">
        <v>9.0</v>
      </c>
      <c r="BH11" s="1" t="s">
        <v>34</v>
      </c>
      <c r="BI11" s="1"/>
      <c r="BJ11" s="1"/>
      <c r="BK11" s="1"/>
      <c r="BL11" s="1"/>
      <c r="BM11" s="1"/>
      <c r="BN11" s="1"/>
    </row>
    <row r="12">
      <c r="A12" s="1">
        <v>10.0</v>
      </c>
      <c r="B12" s="2">
        <v>30053.0</v>
      </c>
      <c r="C12" s="2">
        <v>15026.0</v>
      </c>
      <c r="D12" s="1">
        <v>10.0</v>
      </c>
      <c r="E12" s="1">
        <v>10.0</v>
      </c>
      <c r="F12" s="1">
        <v>100.0</v>
      </c>
      <c r="G12" s="1">
        <v>10.0</v>
      </c>
      <c r="H12" s="2">
        <v>30025.0</v>
      </c>
      <c r="I12" s="2">
        <v>15012.0</v>
      </c>
      <c r="J12" s="1">
        <v>10.0</v>
      </c>
      <c r="K12" s="1">
        <v>10.0</v>
      </c>
      <c r="L12" s="1">
        <v>100.0</v>
      </c>
      <c r="M12" s="1">
        <v>10.0</v>
      </c>
      <c r="N12" s="2">
        <v>30048.0</v>
      </c>
      <c r="O12" s="2">
        <v>15024.0</v>
      </c>
      <c r="P12" s="1">
        <v>10.0</v>
      </c>
      <c r="Q12" s="1">
        <v>10.0</v>
      </c>
      <c r="R12" s="1">
        <v>100.0</v>
      </c>
      <c r="S12" s="1">
        <v>10.0</v>
      </c>
      <c r="T12" s="2">
        <v>30051.0</v>
      </c>
      <c r="U12" s="2">
        <v>15025.0</v>
      </c>
      <c r="V12" s="1">
        <v>10.0</v>
      </c>
      <c r="W12" s="1">
        <v>10.0</v>
      </c>
      <c r="X12" s="1" t="s">
        <v>18</v>
      </c>
      <c r="Y12" s="1">
        <v>10.0</v>
      </c>
      <c r="Z12" s="2">
        <v>30029.0</v>
      </c>
      <c r="AA12" s="2">
        <v>15014.0</v>
      </c>
      <c r="AB12" s="1">
        <v>10.0</v>
      </c>
      <c r="AC12" s="1">
        <v>10.0</v>
      </c>
      <c r="AD12" s="1" t="s">
        <v>18</v>
      </c>
      <c r="AE12" s="1">
        <v>10.0</v>
      </c>
      <c r="AF12" s="2">
        <v>29971.0</v>
      </c>
      <c r="AG12" s="2">
        <v>14985.0</v>
      </c>
      <c r="AH12" s="1">
        <v>10.0</v>
      </c>
      <c r="AI12" s="1">
        <v>10.0</v>
      </c>
      <c r="AJ12" s="1" t="s">
        <v>18</v>
      </c>
      <c r="AK12" s="1">
        <v>10.0</v>
      </c>
      <c r="AL12" s="2">
        <v>29947.0</v>
      </c>
      <c r="AM12" s="2">
        <v>14973.0</v>
      </c>
      <c r="AN12" s="1">
        <v>11.0</v>
      </c>
      <c r="AO12" s="1">
        <v>10.0</v>
      </c>
      <c r="AP12" s="1" t="s">
        <v>35</v>
      </c>
      <c r="AQ12" s="1">
        <v>10.0</v>
      </c>
      <c r="AR12" s="2">
        <v>29941.0</v>
      </c>
      <c r="AS12" s="2">
        <v>14970.0</v>
      </c>
      <c r="AT12" s="1">
        <v>17.0</v>
      </c>
      <c r="AU12" s="1">
        <v>10.0</v>
      </c>
      <c r="AV12" s="1" t="s">
        <v>36</v>
      </c>
      <c r="AW12" s="1">
        <v>10.0</v>
      </c>
      <c r="AX12" s="2">
        <v>29982.0</v>
      </c>
      <c r="AY12" s="2">
        <v>14991.0</v>
      </c>
      <c r="AZ12" s="1">
        <v>10.0</v>
      </c>
      <c r="BA12" s="1">
        <v>10.0</v>
      </c>
      <c r="BB12" s="1" t="s">
        <v>18</v>
      </c>
      <c r="BC12" s="1">
        <v>10.0</v>
      </c>
      <c r="BD12" s="2">
        <v>29933.0</v>
      </c>
      <c r="BE12" s="2">
        <v>14966.0</v>
      </c>
      <c r="BF12" s="1">
        <v>15.0</v>
      </c>
      <c r="BG12" s="1">
        <v>10.0</v>
      </c>
      <c r="BH12" s="1" t="s">
        <v>20</v>
      </c>
      <c r="BI12" s="1"/>
      <c r="BJ12" s="1"/>
      <c r="BK12" s="1"/>
      <c r="BL12" s="1"/>
      <c r="BM12" s="1"/>
      <c r="BN12" s="1"/>
    </row>
    <row r="13">
      <c r="A13" s="1">
        <v>11.0</v>
      </c>
      <c r="B13" s="2">
        <v>30082.0</v>
      </c>
      <c r="C13" s="2">
        <v>15041.0</v>
      </c>
      <c r="D13" s="1">
        <v>11.0</v>
      </c>
      <c r="E13" s="1">
        <v>11.0</v>
      </c>
      <c r="F13" s="1">
        <v>100.0</v>
      </c>
      <c r="G13" s="1">
        <v>11.0</v>
      </c>
      <c r="H13" s="2">
        <v>30041.0</v>
      </c>
      <c r="I13" s="2">
        <v>15020.0</v>
      </c>
      <c r="J13" s="1">
        <v>11.0</v>
      </c>
      <c r="K13" s="1">
        <v>11.0</v>
      </c>
      <c r="L13" s="1">
        <v>100.0</v>
      </c>
      <c r="M13" s="1">
        <v>11.0</v>
      </c>
      <c r="N13" s="2">
        <v>30029.0</v>
      </c>
      <c r="O13" s="2">
        <v>15014.0</v>
      </c>
      <c r="P13" s="1">
        <v>11.0</v>
      </c>
      <c r="Q13" s="1">
        <v>11.0</v>
      </c>
      <c r="R13" s="1">
        <v>100.0</v>
      </c>
      <c r="S13" s="1">
        <v>11.0</v>
      </c>
      <c r="T13" s="2">
        <v>30072.0</v>
      </c>
      <c r="U13" s="2">
        <v>15036.0</v>
      </c>
      <c r="V13" s="1">
        <v>11.0</v>
      </c>
      <c r="W13" s="1">
        <v>11.0</v>
      </c>
      <c r="X13" s="1" t="s">
        <v>18</v>
      </c>
      <c r="Y13" s="1">
        <v>11.0</v>
      </c>
      <c r="Z13" s="2">
        <v>30045.0</v>
      </c>
      <c r="AA13" s="2">
        <v>15022.0</v>
      </c>
      <c r="AB13" s="1">
        <v>11.0</v>
      </c>
      <c r="AC13" s="1">
        <v>11.0</v>
      </c>
      <c r="AD13" s="1" t="s">
        <v>18</v>
      </c>
      <c r="AE13" s="1">
        <v>11.0</v>
      </c>
      <c r="AF13" s="2">
        <v>29986.0</v>
      </c>
      <c r="AG13" s="2">
        <v>14993.0</v>
      </c>
      <c r="AH13" s="1">
        <v>11.0</v>
      </c>
      <c r="AI13" s="1">
        <v>11.0</v>
      </c>
      <c r="AJ13" s="1" t="s">
        <v>18</v>
      </c>
      <c r="AK13" s="1">
        <v>11.0</v>
      </c>
      <c r="AL13" s="2">
        <v>29999.0</v>
      </c>
      <c r="AM13" s="2">
        <v>14999.0</v>
      </c>
      <c r="AN13" s="1">
        <v>12.0</v>
      </c>
      <c r="AO13" s="1">
        <v>11.0</v>
      </c>
      <c r="AP13" s="1" t="s">
        <v>37</v>
      </c>
      <c r="AQ13" s="1">
        <v>11.0</v>
      </c>
      <c r="AR13" s="2">
        <v>30852.0</v>
      </c>
      <c r="AS13" s="2">
        <v>15426.0</v>
      </c>
      <c r="AT13" s="1">
        <v>19.0</v>
      </c>
      <c r="AU13" s="1">
        <v>11.0</v>
      </c>
      <c r="AV13" s="1" t="s">
        <v>38</v>
      </c>
      <c r="AW13" s="1">
        <v>11.0</v>
      </c>
      <c r="AX13" s="2">
        <v>40793.0</v>
      </c>
      <c r="AY13" s="2">
        <v>20396.0</v>
      </c>
      <c r="AZ13" s="1">
        <v>11.0</v>
      </c>
      <c r="BA13" s="1">
        <v>11.0</v>
      </c>
      <c r="BB13" s="1" t="s">
        <v>18</v>
      </c>
      <c r="BC13" s="1">
        <v>11.0</v>
      </c>
      <c r="BD13" s="2">
        <v>31023.0</v>
      </c>
      <c r="BE13" s="2">
        <v>15511.0</v>
      </c>
      <c r="BF13" s="1">
        <v>16.0</v>
      </c>
      <c r="BG13" s="1">
        <v>11.0</v>
      </c>
      <c r="BH13" s="1" t="s">
        <v>39</v>
      </c>
      <c r="BI13" s="1"/>
      <c r="BJ13" s="1"/>
      <c r="BK13" s="1"/>
      <c r="BL13" s="1"/>
      <c r="BM13" s="1"/>
      <c r="BN13" s="1"/>
    </row>
    <row r="14">
      <c r="A14" s="1">
        <v>12.0</v>
      </c>
      <c r="B14" s="2">
        <v>29977.0</v>
      </c>
      <c r="C14" s="2">
        <v>14988.0</v>
      </c>
      <c r="D14" s="1">
        <v>12.0</v>
      </c>
      <c r="E14" s="1">
        <v>12.0</v>
      </c>
      <c r="F14" s="1">
        <v>100.0</v>
      </c>
      <c r="G14" s="1">
        <v>12.0</v>
      </c>
      <c r="H14" s="2">
        <v>30059.0</v>
      </c>
      <c r="I14" s="2">
        <v>15029.0</v>
      </c>
      <c r="J14" s="1">
        <v>12.0</v>
      </c>
      <c r="K14" s="1">
        <v>12.0</v>
      </c>
      <c r="L14" s="1">
        <v>100.0</v>
      </c>
      <c r="M14" s="1">
        <v>12.0</v>
      </c>
      <c r="N14" s="2">
        <v>30049.0</v>
      </c>
      <c r="O14" s="2">
        <v>15024.0</v>
      </c>
      <c r="P14" s="1">
        <v>12.0</v>
      </c>
      <c r="Q14" s="1">
        <v>12.0</v>
      </c>
      <c r="R14" s="1">
        <v>100.0</v>
      </c>
      <c r="S14" s="1">
        <v>12.0</v>
      </c>
      <c r="T14" s="2">
        <v>30040.0</v>
      </c>
      <c r="U14" s="2">
        <v>15020.0</v>
      </c>
      <c r="V14" s="1">
        <v>12.0</v>
      </c>
      <c r="W14" s="1">
        <v>12.0</v>
      </c>
      <c r="X14" s="1" t="s">
        <v>18</v>
      </c>
      <c r="Y14" s="1">
        <v>12.0</v>
      </c>
      <c r="Z14" s="2">
        <v>33013.0</v>
      </c>
      <c r="AA14" s="2">
        <v>16506.0</v>
      </c>
      <c r="AB14" s="1">
        <v>12.0</v>
      </c>
      <c r="AC14" s="1">
        <v>12.0</v>
      </c>
      <c r="AD14" s="1" t="s">
        <v>18</v>
      </c>
      <c r="AE14" s="1">
        <v>12.0</v>
      </c>
      <c r="AF14" s="2">
        <v>29949.0</v>
      </c>
      <c r="AG14" s="2">
        <v>14974.0</v>
      </c>
      <c r="AH14" s="1">
        <v>12.0</v>
      </c>
      <c r="AI14" s="1">
        <v>12.0</v>
      </c>
      <c r="AJ14" s="1" t="s">
        <v>18</v>
      </c>
      <c r="AK14" s="1">
        <v>12.0</v>
      </c>
      <c r="AL14" s="2">
        <v>29941.0</v>
      </c>
      <c r="AM14" s="2">
        <v>14970.0</v>
      </c>
      <c r="AN14" s="1">
        <v>13.0</v>
      </c>
      <c r="AO14" s="1">
        <v>12.0</v>
      </c>
      <c r="AP14" s="1" t="s">
        <v>40</v>
      </c>
      <c r="AQ14" s="1">
        <v>12.0</v>
      </c>
      <c r="AR14" s="2">
        <v>31007.0</v>
      </c>
      <c r="AS14" s="2">
        <v>15503.0</v>
      </c>
      <c r="AT14" s="1">
        <v>20.0</v>
      </c>
      <c r="AU14" s="1">
        <v>12.0</v>
      </c>
      <c r="AV14" s="1" t="s">
        <v>33</v>
      </c>
      <c r="AW14" s="1">
        <v>12.0</v>
      </c>
      <c r="AX14" s="2">
        <v>29966.0</v>
      </c>
      <c r="AY14" s="2">
        <v>14983.0</v>
      </c>
      <c r="AZ14" s="1">
        <v>12.0</v>
      </c>
      <c r="BA14" s="1">
        <v>12.0</v>
      </c>
      <c r="BB14" s="1" t="s">
        <v>18</v>
      </c>
      <c r="BC14" s="1">
        <v>12.0</v>
      </c>
      <c r="BD14" s="2">
        <v>29871.0</v>
      </c>
      <c r="BE14" s="2">
        <v>14935.0</v>
      </c>
      <c r="BF14" s="1">
        <v>17.0</v>
      </c>
      <c r="BG14" s="1">
        <v>12.0</v>
      </c>
      <c r="BH14" s="1" t="s">
        <v>41</v>
      </c>
      <c r="BI14" s="1"/>
      <c r="BJ14" s="1"/>
      <c r="BK14" s="1"/>
      <c r="BL14" s="1"/>
      <c r="BM14" s="1"/>
      <c r="BN14" s="1"/>
    </row>
    <row r="15">
      <c r="A15" s="1">
        <v>13.0</v>
      </c>
      <c r="B15" s="2">
        <v>30071.0</v>
      </c>
      <c r="C15" s="2">
        <v>15035.0</v>
      </c>
      <c r="D15" s="1">
        <v>13.0</v>
      </c>
      <c r="E15" s="1">
        <v>13.0</v>
      </c>
      <c r="F15" s="1">
        <v>100.0</v>
      </c>
      <c r="G15" s="1">
        <v>13.0</v>
      </c>
      <c r="H15" s="2">
        <v>30009.0</v>
      </c>
      <c r="I15" s="2">
        <v>15004.0</v>
      </c>
      <c r="J15" s="1">
        <v>13.0</v>
      </c>
      <c r="K15" s="1">
        <v>13.0</v>
      </c>
      <c r="L15" s="1">
        <v>100.0</v>
      </c>
      <c r="S15" s="1">
        <v>13.0</v>
      </c>
      <c r="T15" s="2">
        <v>30054.0</v>
      </c>
      <c r="U15" s="2">
        <v>15027.0</v>
      </c>
      <c r="V15" s="1">
        <v>13.0</v>
      </c>
      <c r="W15" s="1">
        <v>13.0</v>
      </c>
      <c r="X15" s="1" t="s">
        <v>18</v>
      </c>
      <c r="Y15" s="1">
        <v>13.0</v>
      </c>
      <c r="Z15" s="2">
        <v>30044.0</v>
      </c>
      <c r="AA15" s="2">
        <v>15022.0</v>
      </c>
      <c r="AB15" s="1">
        <v>13.0</v>
      </c>
      <c r="AC15" s="1">
        <v>13.0</v>
      </c>
      <c r="AD15" s="1" t="s">
        <v>18</v>
      </c>
      <c r="AE15" s="1">
        <v>13.0</v>
      </c>
      <c r="AF15" s="2">
        <v>29988.0</v>
      </c>
      <c r="AG15" s="2">
        <v>14994.0</v>
      </c>
      <c r="AH15" s="1">
        <v>13.0</v>
      </c>
      <c r="AI15" s="1">
        <v>13.0</v>
      </c>
      <c r="AJ15" s="1" t="s">
        <v>18</v>
      </c>
      <c r="AK15" s="1">
        <v>13.0</v>
      </c>
      <c r="AL15" s="2">
        <v>30888.0</v>
      </c>
      <c r="AM15" s="2">
        <v>15444.0</v>
      </c>
      <c r="AN15" s="1">
        <v>15.0</v>
      </c>
      <c r="AO15" s="1">
        <v>13.0</v>
      </c>
      <c r="AP15" s="1" t="s">
        <v>42</v>
      </c>
      <c r="AQ15" s="1">
        <v>13.0</v>
      </c>
      <c r="AR15" s="2">
        <v>30050.0</v>
      </c>
      <c r="AS15" s="2">
        <v>15025.0</v>
      </c>
      <c r="AT15" s="1">
        <v>21.0</v>
      </c>
      <c r="AU15" s="1">
        <v>13.0</v>
      </c>
      <c r="AV15" s="1" t="s">
        <v>43</v>
      </c>
      <c r="AW15" s="1">
        <v>13.0</v>
      </c>
      <c r="AX15" s="2">
        <v>30071.0</v>
      </c>
      <c r="AY15" s="2">
        <v>15035.0</v>
      </c>
      <c r="AZ15" s="1">
        <v>13.0</v>
      </c>
      <c r="BA15" s="1">
        <v>13.0</v>
      </c>
      <c r="BB15" s="1" t="s">
        <v>18</v>
      </c>
      <c r="BC15" s="1">
        <v>13.0</v>
      </c>
      <c r="BD15" s="2">
        <v>39754.0</v>
      </c>
      <c r="BE15" s="2">
        <v>19877.0</v>
      </c>
      <c r="BF15" s="1">
        <v>18.0</v>
      </c>
      <c r="BG15" s="1">
        <v>13.0</v>
      </c>
      <c r="BH15" s="1" t="s">
        <v>44</v>
      </c>
      <c r="BI15" s="1"/>
      <c r="BJ15" s="1"/>
      <c r="BK15" s="1"/>
      <c r="BL15" s="1"/>
      <c r="BM15" s="1"/>
      <c r="BN15" s="1"/>
    </row>
    <row r="16">
      <c r="A16" s="1">
        <v>14.0</v>
      </c>
      <c r="B16" s="2">
        <v>30069.0</v>
      </c>
      <c r="C16" s="2">
        <v>15034.0</v>
      </c>
      <c r="D16" s="1">
        <v>14.0</v>
      </c>
      <c r="E16" s="1">
        <v>14.0</v>
      </c>
      <c r="F16" s="1">
        <v>100.0</v>
      </c>
      <c r="S16" s="1">
        <v>14.0</v>
      </c>
      <c r="T16" s="2">
        <v>30047.0</v>
      </c>
      <c r="U16" s="2">
        <v>15023.0</v>
      </c>
      <c r="V16" s="1">
        <v>14.0</v>
      </c>
      <c r="W16" s="1">
        <v>14.0</v>
      </c>
      <c r="X16" s="1" t="s">
        <v>18</v>
      </c>
      <c r="Y16" s="1">
        <v>14.0</v>
      </c>
      <c r="Z16" s="2">
        <v>30038.0</v>
      </c>
      <c r="AA16" s="2">
        <v>15019.0</v>
      </c>
      <c r="AB16" s="1">
        <v>14.0</v>
      </c>
      <c r="AC16" s="1">
        <v>14.0</v>
      </c>
      <c r="AD16" s="1" t="s">
        <v>18</v>
      </c>
      <c r="AE16" s="1">
        <v>14.0</v>
      </c>
      <c r="AF16" s="2">
        <v>29986.0</v>
      </c>
      <c r="AG16" s="2">
        <v>14993.0</v>
      </c>
      <c r="AH16" s="1">
        <v>14.0</v>
      </c>
      <c r="AI16" s="1">
        <v>14.0</v>
      </c>
      <c r="AJ16" s="1" t="s">
        <v>18</v>
      </c>
      <c r="AK16" s="1">
        <v>14.0</v>
      </c>
      <c r="AL16" s="2">
        <v>29972.0</v>
      </c>
      <c r="AM16" s="2">
        <v>14986.0</v>
      </c>
      <c r="AN16" s="1">
        <v>16.0</v>
      </c>
      <c r="AO16" s="1">
        <v>14.0</v>
      </c>
      <c r="AP16" s="1" t="s">
        <v>27</v>
      </c>
      <c r="AQ16" s="1">
        <v>14.0</v>
      </c>
      <c r="AR16" s="2">
        <v>29963.0</v>
      </c>
      <c r="AS16" s="2">
        <v>14981.0</v>
      </c>
      <c r="AT16" s="1">
        <v>22.0</v>
      </c>
      <c r="AU16" s="1">
        <v>14.0</v>
      </c>
      <c r="AV16" s="1" t="s">
        <v>28</v>
      </c>
      <c r="AW16" s="1">
        <v>14.0</v>
      </c>
      <c r="AX16" s="2">
        <v>29852.0</v>
      </c>
      <c r="AY16" s="2">
        <v>14926.0</v>
      </c>
      <c r="AZ16" s="1">
        <v>14.0</v>
      </c>
      <c r="BA16" s="1">
        <v>14.0</v>
      </c>
      <c r="BB16" s="1" t="s">
        <v>18</v>
      </c>
      <c r="BC16" s="1">
        <v>14.0</v>
      </c>
      <c r="BD16" s="2">
        <v>32033.0</v>
      </c>
      <c r="BE16" s="2">
        <v>16016.0</v>
      </c>
      <c r="BF16" s="1">
        <v>19.0</v>
      </c>
      <c r="BG16" s="1">
        <v>14.0</v>
      </c>
      <c r="BH16" s="1" t="s">
        <v>45</v>
      </c>
      <c r="BI16" s="1"/>
      <c r="BJ16" s="1"/>
      <c r="BK16" s="1"/>
      <c r="BL16" s="1"/>
      <c r="BM16" s="1"/>
      <c r="BN16" s="1"/>
    </row>
    <row r="17">
      <c r="A17" s="1">
        <v>15.0</v>
      </c>
      <c r="B17" s="2">
        <v>30058.0</v>
      </c>
      <c r="C17" s="2">
        <v>15029.0</v>
      </c>
      <c r="D17" s="1">
        <v>15.0</v>
      </c>
      <c r="E17" s="1">
        <v>15.0</v>
      </c>
      <c r="F17" s="1">
        <v>100.0</v>
      </c>
      <c r="S17" s="1">
        <v>15.0</v>
      </c>
      <c r="T17" s="2">
        <v>30042.0</v>
      </c>
      <c r="U17" s="2">
        <v>15021.0</v>
      </c>
      <c r="V17" s="1">
        <v>15.0</v>
      </c>
      <c r="W17" s="1">
        <v>15.0</v>
      </c>
      <c r="X17" s="1" t="s">
        <v>18</v>
      </c>
      <c r="Y17" s="1">
        <v>15.0</v>
      </c>
      <c r="Z17" s="2">
        <v>30024.0</v>
      </c>
      <c r="AA17" s="2">
        <v>15012.0</v>
      </c>
      <c r="AB17" s="1">
        <v>15.0</v>
      </c>
      <c r="AC17" s="1">
        <v>15.0</v>
      </c>
      <c r="AD17" s="1" t="s">
        <v>18</v>
      </c>
      <c r="AE17" s="1">
        <v>15.0</v>
      </c>
      <c r="AF17" s="2">
        <v>30007.0</v>
      </c>
      <c r="AG17" s="2">
        <v>15003.0</v>
      </c>
      <c r="AH17" s="1">
        <v>15.0</v>
      </c>
      <c r="AI17" s="1">
        <v>15.0</v>
      </c>
      <c r="AJ17" s="1" t="s">
        <v>18</v>
      </c>
      <c r="AK17" s="1">
        <v>15.0</v>
      </c>
      <c r="AL17" s="2">
        <v>32001.0</v>
      </c>
      <c r="AM17" s="2">
        <v>16000.0</v>
      </c>
      <c r="AN17" s="1">
        <v>17.0</v>
      </c>
      <c r="AO17" s="1">
        <v>15.0</v>
      </c>
      <c r="AP17" s="1" t="s">
        <v>46</v>
      </c>
      <c r="AQ17" s="1">
        <v>15.0</v>
      </c>
      <c r="AR17" s="2">
        <v>37542.0</v>
      </c>
      <c r="AS17" s="2">
        <v>18771.0</v>
      </c>
      <c r="AT17" s="1">
        <v>23.0</v>
      </c>
      <c r="AU17" s="1">
        <v>15.0</v>
      </c>
      <c r="AV17" s="1" t="s">
        <v>47</v>
      </c>
      <c r="AW17" s="1">
        <v>15.0</v>
      </c>
      <c r="AX17" s="2">
        <v>30018.0</v>
      </c>
      <c r="AY17" s="2">
        <v>15009.0</v>
      </c>
      <c r="AZ17" s="1">
        <v>15.0</v>
      </c>
      <c r="BA17" s="1">
        <v>15.0</v>
      </c>
      <c r="BB17" s="1" t="s">
        <v>18</v>
      </c>
      <c r="BC17" s="1">
        <v>15.0</v>
      </c>
      <c r="BD17" s="2">
        <v>51129.0</v>
      </c>
      <c r="BE17" s="2">
        <v>25564.0</v>
      </c>
      <c r="BF17" s="1">
        <v>26.0</v>
      </c>
      <c r="BG17" s="1">
        <v>15.0</v>
      </c>
      <c r="BH17" s="1" t="s">
        <v>48</v>
      </c>
      <c r="BI17" s="1"/>
      <c r="BJ17" s="1"/>
      <c r="BK17" s="1"/>
      <c r="BL17" s="1"/>
      <c r="BM17" s="1"/>
      <c r="BN17" s="1"/>
    </row>
    <row r="18">
      <c r="A18" s="1">
        <v>16.0</v>
      </c>
      <c r="B18" s="2">
        <v>30029.0</v>
      </c>
      <c r="C18" s="2">
        <v>15014.0</v>
      </c>
      <c r="D18" s="1">
        <v>16.0</v>
      </c>
      <c r="E18" s="1">
        <v>16.0</v>
      </c>
      <c r="F18" s="1">
        <v>100.0</v>
      </c>
      <c r="S18" s="1">
        <v>16.0</v>
      </c>
      <c r="T18" s="2">
        <v>30043.0</v>
      </c>
      <c r="U18" s="2">
        <v>15021.0</v>
      </c>
      <c r="V18" s="1">
        <v>16.0</v>
      </c>
      <c r="W18" s="1">
        <v>16.0</v>
      </c>
      <c r="X18" s="1" t="s">
        <v>18</v>
      </c>
      <c r="Y18" s="1">
        <v>16.0</v>
      </c>
      <c r="Z18" s="2">
        <v>30038.0</v>
      </c>
      <c r="AA18" s="2">
        <v>15019.0</v>
      </c>
      <c r="AB18" s="1">
        <v>16.0</v>
      </c>
      <c r="AC18" s="1">
        <v>16.0</v>
      </c>
      <c r="AD18" s="1" t="s">
        <v>18</v>
      </c>
      <c r="AE18" s="1">
        <v>16.0</v>
      </c>
      <c r="AF18" s="2">
        <v>30022.0</v>
      </c>
      <c r="AG18" s="2">
        <v>15011.0</v>
      </c>
      <c r="AH18" s="1">
        <v>16.0</v>
      </c>
      <c r="AI18" s="1">
        <v>16.0</v>
      </c>
      <c r="AJ18" s="1" t="s">
        <v>18</v>
      </c>
      <c r="AK18" s="1">
        <v>16.0</v>
      </c>
      <c r="AL18" s="2">
        <v>30166.0</v>
      </c>
      <c r="AM18" s="2">
        <v>15083.0</v>
      </c>
      <c r="AN18" s="1">
        <v>18.0</v>
      </c>
      <c r="AO18" s="1">
        <v>16.0</v>
      </c>
      <c r="AP18" s="1" t="s">
        <v>30</v>
      </c>
      <c r="AQ18" s="1">
        <v>16.0</v>
      </c>
      <c r="AR18" s="2">
        <v>47257.0</v>
      </c>
      <c r="AS18" s="2">
        <v>23628.0</v>
      </c>
      <c r="AT18" s="1">
        <v>24.0</v>
      </c>
      <c r="AU18" s="1">
        <v>16.0</v>
      </c>
      <c r="AV18" s="1" t="s">
        <v>20</v>
      </c>
      <c r="AW18" s="1">
        <v>16.0</v>
      </c>
      <c r="AX18" s="2">
        <v>29910.0</v>
      </c>
      <c r="AY18" s="2">
        <v>14955.0</v>
      </c>
      <c r="AZ18" s="1">
        <v>16.0</v>
      </c>
      <c r="BA18" s="1">
        <v>16.0</v>
      </c>
      <c r="BB18" s="1" t="s">
        <v>18</v>
      </c>
      <c r="BC18" s="1">
        <v>16.0</v>
      </c>
      <c r="BD18" s="2">
        <v>31892.0</v>
      </c>
      <c r="BE18" s="2">
        <v>15946.0</v>
      </c>
      <c r="BF18" s="1">
        <v>27.0</v>
      </c>
      <c r="BG18" s="1">
        <v>16.0</v>
      </c>
      <c r="BH18" s="1" t="s">
        <v>49</v>
      </c>
      <c r="BI18" s="1"/>
      <c r="BJ18" s="1"/>
      <c r="BK18" s="1"/>
      <c r="BL18" s="1"/>
      <c r="BM18" s="1"/>
      <c r="BN18" s="1"/>
    </row>
    <row r="19">
      <c r="S19" s="1">
        <v>17.0</v>
      </c>
      <c r="T19" s="2">
        <v>30054.0</v>
      </c>
      <c r="U19" s="2">
        <v>15027.0</v>
      </c>
      <c r="V19" s="1">
        <v>17.0</v>
      </c>
      <c r="W19" s="1">
        <v>17.0</v>
      </c>
      <c r="X19" s="1" t="s">
        <v>18</v>
      </c>
      <c r="Y19" s="1">
        <v>17.0</v>
      </c>
      <c r="Z19" s="2">
        <v>30027.0</v>
      </c>
      <c r="AA19" s="2">
        <v>15013.0</v>
      </c>
      <c r="AB19" s="1">
        <v>17.0</v>
      </c>
      <c r="AC19" s="1">
        <v>17.0</v>
      </c>
      <c r="AD19" s="1" t="s">
        <v>18</v>
      </c>
      <c r="AE19" s="1">
        <v>17.0</v>
      </c>
      <c r="AF19" s="2">
        <v>30026.0</v>
      </c>
      <c r="AG19" s="2">
        <v>15013.0</v>
      </c>
      <c r="AH19" s="1">
        <v>17.0</v>
      </c>
      <c r="AI19" s="1">
        <v>17.0</v>
      </c>
      <c r="AJ19" s="1" t="s">
        <v>18</v>
      </c>
      <c r="AK19" s="1">
        <v>17.0</v>
      </c>
      <c r="AL19" s="2">
        <v>29911.0</v>
      </c>
      <c r="AM19" s="2">
        <v>14955.0</v>
      </c>
      <c r="AN19" s="1">
        <v>19.0</v>
      </c>
      <c r="AO19" s="1">
        <v>17.0</v>
      </c>
      <c r="AP19" s="1" t="s">
        <v>50</v>
      </c>
      <c r="AQ19" s="1">
        <v>17.0</v>
      </c>
      <c r="AR19" s="2">
        <v>37639.0</v>
      </c>
      <c r="AS19" s="2">
        <v>18819.0</v>
      </c>
      <c r="AT19" s="1">
        <v>26.0</v>
      </c>
      <c r="AU19" s="1">
        <v>17.0</v>
      </c>
      <c r="AV19" s="1" t="s">
        <v>51</v>
      </c>
      <c r="AW19" s="1">
        <v>17.0</v>
      </c>
      <c r="AX19" s="2">
        <v>29955.0</v>
      </c>
      <c r="AY19" s="2">
        <v>14977.0</v>
      </c>
      <c r="AZ19" s="1">
        <v>17.0</v>
      </c>
      <c r="BA19" s="1">
        <v>17.0</v>
      </c>
      <c r="BB19" s="1" t="s">
        <v>18</v>
      </c>
      <c r="BC19" s="1">
        <v>17.0</v>
      </c>
      <c r="BD19" s="2">
        <v>30044.0</v>
      </c>
      <c r="BE19" s="2">
        <v>15022.0</v>
      </c>
      <c r="BF19" s="1">
        <v>28.0</v>
      </c>
      <c r="BG19" s="1">
        <v>17.0</v>
      </c>
      <c r="BH19" s="1" t="s">
        <v>52</v>
      </c>
      <c r="BI19" s="1"/>
      <c r="BJ19" s="1"/>
      <c r="BK19" s="1"/>
      <c r="BL19" s="1"/>
      <c r="BM19" s="1"/>
      <c r="BN19" s="1"/>
    </row>
    <row r="20">
      <c r="S20" s="1">
        <v>18.0</v>
      </c>
      <c r="T20" s="2">
        <v>30043.0</v>
      </c>
      <c r="U20" s="2">
        <v>15021.0</v>
      </c>
      <c r="V20" s="1">
        <v>18.0</v>
      </c>
      <c r="W20" s="1">
        <v>18.0</v>
      </c>
      <c r="X20" s="1" t="s">
        <v>18</v>
      </c>
      <c r="Y20" s="1">
        <v>18.0</v>
      </c>
      <c r="Z20" s="2">
        <v>30011.0</v>
      </c>
      <c r="AA20" s="2">
        <v>15005.0</v>
      </c>
      <c r="AB20" s="1">
        <v>18.0</v>
      </c>
      <c r="AC20" s="1">
        <v>18.0</v>
      </c>
      <c r="AD20" s="1" t="s">
        <v>18</v>
      </c>
      <c r="AE20" s="1">
        <v>18.0</v>
      </c>
      <c r="AF20" s="2">
        <v>30045.0</v>
      </c>
      <c r="AG20" s="2">
        <v>15022.0</v>
      </c>
      <c r="AH20" s="1">
        <v>18.0</v>
      </c>
      <c r="AI20" s="1">
        <v>18.0</v>
      </c>
      <c r="AJ20" s="1" t="s">
        <v>18</v>
      </c>
      <c r="AK20" s="1">
        <v>18.0</v>
      </c>
      <c r="AL20" s="2">
        <v>32999.0</v>
      </c>
      <c r="AM20" s="2">
        <v>16499.0</v>
      </c>
      <c r="AN20" s="1">
        <v>20.0</v>
      </c>
      <c r="AO20" s="1">
        <v>18.0</v>
      </c>
      <c r="AP20" s="1" t="s">
        <v>32</v>
      </c>
      <c r="AQ20" s="1">
        <v>18.0</v>
      </c>
      <c r="AR20" s="2">
        <v>30881.0</v>
      </c>
      <c r="AS20" s="2">
        <v>15440.0</v>
      </c>
      <c r="AT20" s="1">
        <v>28.0</v>
      </c>
      <c r="AU20" s="1">
        <v>18.0</v>
      </c>
      <c r="AV20" s="1">
        <v>64.29</v>
      </c>
      <c r="AW20" s="1">
        <v>18.0</v>
      </c>
      <c r="AX20" s="2">
        <v>29867.0</v>
      </c>
      <c r="AY20" s="2">
        <v>14933.0</v>
      </c>
      <c r="AZ20" s="1">
        <v>18.0</v>
      </c>
      <c r="BA20" s="1">
        <v>18.0</v>
      </c>
      <c r="BB20" s="1" t="s">
        <v>18</v>
      </c>
      <c r="BC20" s="1">
        <v>18.0</v>
      </c>
      <c r="BD20" s="2">
        <v>30088.0</v>
      </c>
      <c r="BE20" s="2">
        <v>15044.0</v>
      </c>
      <c r="BF20" s="1">
        <v>29.0</v>
      </c>
      <c r="BG20" s="1">
        <v>18.0</v>
      </c>
      <c r="BH20" s="1" t="s">
        <v>53</v>
      </c>
      <c r="BI20" s="1"/>
      <c r="BJ20" s="1"/>
      <c r="BK20" s="1"/>
      <c r="BL20" s="1"/>
      <c r="BM20" s="1"/>
      <c r="BN20" s="1"/>
    </row>
    <row r="21">
      <c r="S21" s="1">
        <v>19.0</v>
      </c>
      <c r="T21" s="2">
        <v>30026.0</v>
      </c>
      <c r="U21" s="2">
        <v>15013.0</v>
      </c>
      <c r="V21" s="1">
        <v>19.0</v>
      </c>
      <c r="W21" s="1">
        <v>19.0</v>
      </c>
      <c r="X21" s="1" t="s">
        <v>18</v>
      </c>
      <c r="Y21" s="1">
        <v>19.0</v>
      </c>
      <c r="Z21" s="2">
        <v>32966.0</v>
      </c>
      <c r="AA21" s="2">
        <v>16483.0</v>
      </c>
      <c r="AB21" s="1">
        <v>19.0</v>
      </c>
      <c r="AC21" s="1">
        <v>19.0</v>
      </c>
      <c r="AD21" s="1" t="s">
        <v>18</v>
      </c>
      <c r="AE21" s="1">
        <v>19.0</v>
      </c>
      <c r="AF21" s="2">
        <v>30043.0</v>
      </c>
      <c r="AG21" s="2">
        <v>15021.0</v>
      </c>
      <c r="AH21" s="1">
        <v>19.0</v>
      </c>
      <c r="AI21" s="1">
        <v>19.0</v>
      </c>
      <c r="AJ21" s="1" t="s">
        <v>18</v>
      </c>
      <c r="AK21" s="1">
        <v>19.0</v>
      </c>
      <c r="AL21" s="2">
        <v>31011.0</v>
      </c>
      <c r="AM21" s="2">
        <v>15505.0</v>
      </c>
      <c r="AN21" s="1">
        <v>21.0</v>
      </c>
      <c r="AO21" s="1">
        <v>19.0</v>
      </c>
      <c r="AP21" s="1" t="s">
        <v>54</v>
      </c>
      <c r="AQ21" s="1" t="s">
        <v>11</v>
      </c>
      <c r="AR21" s="1" t="s">
        <v>12</v>
      </c>
      <c r="AS21" s="1" t="s">
        <v>13</v>
      </c>
      <c r="AT21" s="1" t="s">
        <v>14</v>
      </c>
      <c r="AU21" s="1" t="s">
        <v>15</v>
      </c>
      <c r="AV21" s="1" t="s">
        <v>17</v>
      </c>
      <c r="AW21" s="1">
        <v>19.0</v>
      </c>
      <c r="AX21" s="2">
        <v>30000.0</v>
      </c>
      <c r="AY21" s="2">
        <v>15000.0</v>
      </c>
      <c r="AZ21" s="1">
        <v>19.0</v>
      </c>
      <c r="BA21" s="1">
        <v>19.0</v>
      </c>
      <c r="BB21" s="1" t="s">
        <v>18</v>
      </c>
      <c r="BC21" s="1">
        <v>19.0</v>
      </c>
      <c r="BD21" s="2">
        <v>30190.0</v>
      </c>
      <c r="BE21" s="2">
        <v>15095.0</v>
      </c>
      <c r="BF21" s="1">
        <v>30.0</v>
      </c>
      <c r="BG21" s="1">
        <v>19.0</v>
      </c>
      <c r="BH21" s="1" t="s">
        <v>55</v>
      </c>
      <c r="BI21" s="1"/>
      <c r="BJ21" s="1"/>
      <c r="BK21" s="1"/>
      <c r="BL21" s="1"/>
      <c r="BM21" s="1"/>
      <c r="BN21" s="1"/>
    </row>
    <row r="22">
      <c r="S22" s="1">
        <v>20.0</v>
      </c>
      <c r="T22" s="2">
        <v>34436.0</v>
      </c>
      <c r="U22" s="2">
        <v>17218.0</v>
      </c>
      <c r="V22" s="1">
        <v>20.0</v>
      </c>
      <c r="W22" s="1">
        <v>20.0</v>
      </c>
      <c r="X22" s="1" t="s">
        <v>18</v>
      </c>
      <c r="Y22" s="1">
        <v>20.0</v>
      </c>
      <c r="Z22" s="2">
        <v>30047.0</v>
      </c>
      <c r="AA22" s="2">
        <v>15023.0</v>
      </c>
      <c r="AB22" s="1">
        <v>20.0</v>
      </c>
      <c r="AC22" s="1">
        <v>20.0</v>
      </c>
      <c r="AD22" s="1" t="s">
        <v>18</v>
      </c>
      <c r="AE22" s="1">
        <v>20.0</v>
      </c>
      <c r="AF22" s="2">
        <v>30075.0</v>
      </c>
      <c r="AG22" s="2">
        <v>15037.0</v>
      </c>
      <c r="AH22" s="1">
        <v>20.0</v>
      </c>
      <c r="AI22" s="1">
        <v>20.0</v>
      </c>
      <c r="AJ22" s="1" t="s">
        <v>18</v>
      </c>
      <c r="AK22" s="1">
        <v>20.0</v>
      </c>
      <c r="AL22" s="2">
        <v>31001.0</v>
      </c>
      <c r="AM22" s="2">
        <v>15500.0</v>
      </c>
      <c r="AN22" s="1">
        <v>22.0</v>
      </c>
      <c r="AO22" s="1">
        <v>20.0</v>
      </c>
      <c r="AP22" s="1" t="s">
        <v>35</v>
      </c>
      <c r="AQ22" s="1">
        <v>1.0</v>
      </c>
      <c r="AR22" s="2">
        <v>31056.0</v>
      </c>
      <c r="AS22" s="2">
        <v>15528.0</v>
      </c>
      <c r="AT22" s="1">
        <v>1.0</v>
      </c>
      <c r="AU22" s="1">
        <v>1.0</v>
      </c>
      <c r="AV22" s="1" t="s">
        <v>18</v>
      </c>
      <c r="AW22" s="1">
        <v>20.0</v>
      </c>
      <c r="AX22" s="2">
        <v>31009.0</v>
      </c>
      <c r="AY22" s="2">
        <v>15504.0</v>
      </c>
      <c r="AZ22" s="1">
        <v>20.0</v>
      </c>
      <c r="BA22" s="1">
        <v>20.0</v>
      </c>
      <c r="BB22" s="1" t="s">
        <v>18</v>
      </c>
      <c r="BC22" s="1">
        <v>20.0</v>
      </c>
      <c r="BD22" s="2">
        <v>59257.0</v>
      </c>
      <c r="BE22" s="2">
        <v>29628.0</v>
      </c>
      <c r="BF22" s="1">
        <v>31.0</v>
      </c>
      <c r="BG22" s="1">
        <v>20.0</v>
      </c>
      <c r="BH22" s="1" t="s">
        <v>56</v>
      </c>
      <c r="BI22" s="1"/>
      <c r="BJ22" s="1"/>
      <c r="BK22" s="1"/>
      <c r="BL22" s="1"/>
      <c r="BM22" s="1"/>
      <c r="BN22" s="1"/>
    </row>
    <row r="23">
      <c r="S23" s="1">
        <v>21.0</v>
      </c>
      <c r="T23" s="2">
        <v>30146.0</v>
      </c>
      <c r="U23" s="2">
        <v>15073.0</v>
      </c>
      <c r="V23" s="1">
        <v>21.0</v>
      </c>
      <c r="W23" s="1">
        <v>21.0</v>
      </c>
      <c r="X23" s="1" t="s">
        <v>18</v>
      </c>
      <c r="Y23" s="1">
        <v>21.0</v>
      </c>
      <c r="Z23" s="2">
        <v>30015.0</v>
      </c>
      <c r="AA23" s="2">
        <v>15007.0</v>
      </c>
      <c r="AB23" s="1">
        <v>21.0</v>
      </c>
      <c r="AC23" s="1">
        <v>21.0</v>
      </c>
      <c r="AD23" s="1" t="s">
        <v>18</v>
      </c>
      <c r="AE23" s="1">
        <v>21.0</v>
      </c>
      <c r="AF23" s="2">
        <v>30064.0</v>
      </c>
      <c r="AG23" s="2">
        <v>15032.0</v>
      </c>
      <c r="AH23" s="1">
        <v>21.0</v>
      </c>
      <c r="AI23" s="1">
        <v>21.0</v>
      </c>
      <c r="AJ23" s="1" t="s">
        <v>18</v>
      </c>
      <c r="AK23" s="1">
        <v>21.0</v>
      </c>
      <c r="AL23" s="2">
        <v>31937.0</v>
      </c>
      <c r="AM23" s="2">
        <v>15968.0</v>
      </c>
      <c r="AN23" s="1">
        <v>23.0</v>
      </c>
      <c r="AO23" s="1">
        <v>21.0</v>
      </c>
      <c r="AP23" s="1" t="s">
        <v>57</v>
      </c>
      <c r="AQ23" s="1">
        <v>2.0</v>
      </c>
      <c r="AR23" s="2">
        <v>29895.0</v>
      </c>
      <c r="AS23" s="2">
        <v>14947.0</v>
      </c>
      <c r="AT23" s="1">
        <v>3.0</v>
      </c>
      <c r="AU23" s="1">
        <v>2.0</v>
      </c>
      <c r="AV23" s="1" t="s">
        <v>20</v>
      </c>
      <c r="AW23" s="1">
        <v>21.0</v>
      </c>
      <c r="AX23" s="2">
        <v>31011.0</v>
      </c>
      <c r="AY23" s="2">
        <v>15505.0</v>
      </c>
      <c r="AZ23" s="1">
        <v>21.0</v>
      </c>
      <c r="BA23" s="1">
        <v>21.0</v>
      </c>
      <c r="BB23" s="1" t="s">
        <v>18</v>
      </c>
      <c r="BC23" s="1">
        <v>21.0</v>
      </c>
      <c r="BD23" s="2">
        <v>35873.0</v>
      </c>
      <c r="BE23" s="2">
        <v>17936.0</v>
      </c>
      <c r="BF23" s="1">
        <v>33.0</v>
      </c>
      <c r="BG23" s="1">
        <v>21.0</v>
      </c>
      <c r="BH23" s="1" t="s">
        <v>28</v>
      </c>
      <c r="BI23" s="1"/>
      <c r="BJ23" s="1"/>
      <c r="BK23" s="1"/>
      <c r="BL23" s="1"/>
      <c r="BM23" s="1"/>
      <c r="BN23" s="1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4">
        <v>22.0</v>
      </c>
      <c r="T24" s="5">
        <v>33557.0</v>
      </c>
      <c r="U24" s="5">
        <v>16778.0</v>
      </c>
      <c r="V24" s="4">
        <v>22.0</v>
      </c>
      <c r="W24" s="4">
        <v>22.0</v>
      </c>
      <c r="X24" s="4" t="s">
        <v>18</v>
      </c>
      <c r="Y24" s="4">
        <v>22.0</v>
      </c>
      <c r="Z24" s="5">
        <v>29986.0</v>
      </c>
      <c r="AA24" s="5">
        <v>14993.0</v>
      </c>
      <c r="AB24" s="4">
        <v>22.0</v>
      </c>
      <c r="AC24" s="4">
        <v>22.0</v>
      </c>
      <c r="AD24" s="4" t="s">
        <v>18</v>
      </c>
      <c r="AE24" s="4">
        <v>22.0</v>
      </c>
      <c r="AF24" s="5">
        <v>30097.0</v>
      </c>
      <c r="AG24" s="5">
        <v>15048.0</v>
      </c>
      <c r="AH24" s="4">
        <v>22.0</v>
      </c>
      <c r="AI24" s="4">
        <v>22.0</v>
      </c>
      <c r="AJ24" s="4" t="s">
        <v>18</v>
      </c>
      <c r="AK24" s="4">
        <v>22.0</v>
      </c>
      <c r="AL24" s="5">
        <v>47220.0</v>
      </c>
      <c r="AM24" s="5">
        <v>23610.0</v>
      </c>
      <c r="AN24" s="4">
        <v>26.0</v>
      </c>
      <c r="AO24" s="4">
        <v>22.0</v>
      </c>
      <c r="AP24" s="4">
        <v>84.62</v>
      </c>
      <c r="AQ24" s="6">
        <v>3.0</v>
      </c>
      <c r="AR24" s="7">
        <v>30889.0</v>
      </c>
      <c r="AS24" s="7">
        <v>15444.0</v>
      </c>
      <c r="AT24" s="6">
        <v>12.0</v>
      </c>
      <c r="AU24" s="6">
        <v>3.0</v>
      </c>
      <c r="AV24" s="6" t="s">
        <v>58</v>
      </c>
      <c r="AW24" s="4">
        <v>22.0</v>
      </c>
      <c r="AX24" s="5">
        <v>30000.0</v>
      </c>
      <c r="AY24" s="5">
        <v>15000.0</v>
      </c>
      <c r="AZ24" s="4">
        <v>22.0</v>
      </c>
      <c r="BA24" s="4">
        <v>22.0</v>
      </c>
      <c r="BB24" s="4" t="s">
        <v>18</v>
      </c>
      <c r="BC24" s="4">
        <v>22.0</v>
      </c>
      <c r="BD24" s="5">
        <v>30000.0</v>
      </c>
      <c r="BE24" s="5">
        <v>15000.0</v>
      </c>
      <c r="BF24" s="4">
        <v>34.0</v>
      </c>
      <c r="BG24" s="4">
        <v>22.0</v>
      </c>
      <c r="BH24" s="4" t="s">
        <v>59</v>
      </c>
      <c r="BI24" s="4"/>
      <c r="BJ24" s="4"/>
      <c r="BK24" s="4"/>
      <c r="BL24" s="4"/>
      <c r="BM24" s="4"/>
      <c r="BN24" s="4"/>
    </row>
    <row r="25">
      <c r="S25" s="1">
        <v>23.0</v>
      </c>
      <c r="T25" s="2">
        <v>30053.0</v>
      </c>
      <c r="U25" s="2">
        <v>15026.0</v>
      </c>
      <c r="V25" s="1">
        <v>23.0</v>
      </c>
      <c r="W25" s="1">
        <v>23.0</v>
      </c>
      <c r="X25" s="1" t="s">
        <v>18</v>
      </c>
      <c r="Y25" s="1">
        <v>23.0</v>
      </c>
      <c r="Z25" s="2">
        <v>30005.0</v>
      </c>
      <c r="AA25" s="2">
        <v>15002.0</v>
      </c>
      <c r="AB25" s="1">
        <v>23.0</v>
      </c>
      <c r="AC25" s="1">
        <v>23.0</v>
      </c>
      <c r="AD25" s="1" t="s">
        <v>18</v>
      </c>
      <c r="AE25" s="1">
        <v>23.0</v>
      </c>
      <c r="AF25" s="2">
        <v>30093.0</v>
      </c>
      <c r="AG25" s="2">
        <v>15046.0</v>
      </c>
      <c r="AH25" s="1">
        <v>23.0</v>
      </c>
      <c r="AI25" s="1">
        <v>23.0</v>
      </c>
      <c r="AJ25" s="1" t="s">
        <v>18</v>
      </c>
      <c r="AK25" s="1"/>
      <c r="AL25" s="1"/>
      <c r="AM25" s="1"/>
      <c r="AN25" s="1"/>
      <c r="AO25" s="1"/>
      <c r="AP25" s="1"/>
      <c r="AQ25" s="8">
        <v>4.0</v>
      </c>
      <c r="AR25" s="9">
        <v>33571.0</v>
      </c>
      <c r="AS25" s="9">
        <v>16785.0</v>
      </c>
      <c r="AT25" s="8">
        <v>15.0</v>
      </c>
      <c r="AU25" s="8">
        <v>4.0</v>
      </c>
      <c r="AV25" s="8" t="s">
        <v>60</v>
      </c>
      <c r="AW25" s="1">
        <v>23.0</v>
      </c>
      <c r="AX25" s="2">
        <v>41704.0</v>
      </c>
      <c r="AY25" s="2">
        <v>20852.0</v>
      </c>
      <c r="AZ25" s="1">
        <v>23.0</v>
      </c>
      <c r="BA25" s="1">
        <v>23.0</v>
      </c>
      <c r="BB25" s="1" t="s">
        <v>18</v>
      </c>
      <c r="BC25" s="1">
        <v>23.0</v>
      </c>
      <c r="BD25" s="2">
        <v>30110.0</v>
      </c>
      <c r="BE25" s="2">
        <v>15055.0</v>
      </c>
      <c r="BF25" s="1">
        <v>35.0</v>
      </c>
      <c r="BG25" s="1">
        <v>23.0</v>
      </c>
      <c r="BH25" s="1" t="s">
        <v>61</v>
      </c>
      <c r="BI25" s="1"/>
      <c r="BJ25" s="1"/>
      <c r="BK25" s="1"/>
      <c r="BL25" s="1"/>
      <c r="BM25" s="1"/>
      <c r="BN25" s="1"/>
    </row>
    <row r="26">
      <c r="S26" s="1">
        <v>24.0</v>
      </c>
      <c r="T26" s="2">
        <v>29970.0</v>
      </c>
      <c r="U26" s="2">
        <v>14985.0</v>
      </c>
      <c r="V26" s="1">
        <v>26.0</v>
      </c>
      <c r="W26" s="1">
        <v>24.0</v>
      </c>
      <c r="X26" s="1" t="s">
        <v>40</v>
      </c>
      <c r="Y26" s="1">
        <v>24.0</v>
      </c>
      <c r="Z26" s="2">
        <v>32899.0</v>
      </c>
      <c r="AA26" s="2">
        <v>16449.0</v>
      </c>
      <c r="AB26" s="1">
        <v>25.0</v>
      </c>
      <c r="AC26" s="1">
        <v>24.0</v>
      </c>
      <c r="AD26" s="1">
        <v>96.0</v>
      </c>
      <c r="AE26" s="1">
        <v>24.0</v>
      </c>
      <c r="AF26" s="2">
        <v>30059.0</v>
      </c>
      <c r="AG26" s="2">
        <v>15029.0</v>
      </c>
      <c r="AH26" s="1">
        <v>24.0</v>
      </c>
      <c r="AI26" s="1">
        <v>24.0</v>
      </c>
      <c r="AJ26" s="1" t="s">
        <v>18</v>
      </c>
      <c r="AK26" s="1"/>
      <c r="AL26" s="1"/>
      <c r="AM26" s="1"/>
      <c r="AN26" s="1"/>
      <c r="AO26" s="1"/>
      <c r="AP26" s="1"/>
      <c r="AQ26" s="1">
        <v>5.0</v>
      </c>
      <c r="AR26" s="2">
        <v>39790.0</v>
      </c>
      <c r="AS26" s="2">
        <v>19895.0</v>
      </c>
      <c r="AT26" s="1">
        <v>16.0</v>
      </c>
      <c r="AU26" s="1">
        <v>5.0</v>
      </c>
      <c r="AV26" s="1" t="s">
        <v>62</v>
      </c>
      <c r="AW26" s="1">
        <v>24.0</v>
      </c>
      <c r="AX26" s="2">
        <v>29926.0</v>
      </c>
      <c r="AY26" s="2">
        <v>14963.0</v>
      </c>
      <c r="AZ26" s="1">
        <v>24.0</v>
      </c>
      <c r="BA26" s="1">
        <v>24.0</v>
      </c>
      <c r="BB26" s="1" t="s">
        <v>18</v>
      </c>
      <c r="BC26" s="1">
        <v>24.0</v>
      </c>
      <c r="BD26" s="2">
        <v>32111.0</v>
      </c>
      <c r="BE26" s="2">
        <v>16055.0</v>
      </c>
      <c r="BF26" s="1">
        <v>36.0</v>
      </c>
      <c r="BG26" s="1">
        <v>24.0</v>
      </c>
      <c r="BH26" s="1" t="s">
        <v>20</v>
      </c>
      <c r="BI26" s="1"/>
      <c r="BJ26" s="1"/>
      <c r="BK26" s="1"/>
      <c r="BL26" s="1"/>
      <c r="BM26" s="1"/>
      <c r="BN26" s="1"/>
    </row>
    <row r="27">
      <c r="S27" s="1">
        <v>25.0</v>
      </c>
      <c r="T27" s="2">
        <v>40594.0</v>
      </c>
      <c r="U27" s="2">
        <v>20297.0</v>
      </c>
      <c r="V27" s="1">
        <v>27.0</v>
      </c>
      <c r="W27" s="1">
        <v>25.0</v>
      </c>
      <c r="X27" s="1" t="s">
        <v>63</v>
      </c>
      <c r="AE27" s="1">
        <v>25.0</v>
      </c>
      <c r="AF27" s="2">
        <v>29976.0</v>
      </c>
      <c r="AG27" s="2">
        <v>14988.0</v>
      </c>
      <c r="AH27" s="1">
        <v>28.0</v>
      </c>
      <c r="AI27" s="1">
        <v>25.0</v>
      </c>
      <c r="AJ27" s="1" t="s">
        <v>64</v>
      </c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>
        <v>25.0</v>
      </c>
      <c r="AX27" s="2">
        <v>31057.0</v>
      </c>
      <c r="AY27" s="2">
        <v>15528.0</v>
      </c>
      <c r="AZ27" s="1">
        <v>25.0</v>
      </c>
      <c r="BA27" s="1">
        <v>25.0</v>
      </c>
      <c r="BB27" s="1" t="s">
        <v>18</v>
      </c>
      <c r="BC27" s="1">
        <v>25.0</v>
      </c>
      <c r="BD27" s="2">
        <v>53937.0</v>
      </c>
      <c r="BE27" s="2">
        <v>26968.0</v>
      </c>
      <c r="BF27" s="1">
        <v>38.0</v>
      </c>
      <c r="BG27" s="1">
        <v>25.0</v>
      </c>
      <c r="BH27" s="1" t="s">
        <v>65</v>
      </c>
      <c r="BI27" s="1"/>
      <c r="BJ27" s="1"/>
      <c r="BK27" s="1"/>
      <c r="BL27" s="1"/>
      <c r="BM27" s="1"/>
      <c r="BN27" s="1"/>
    </row>
    <row r="28">
      <c r="A28" s="10" t="s">
        <v>66</v>
      </c>
      <c r="B28" s="10"/>
      <c r="C28" s="10"/>
      <c r="D28" s="10"/>
      <c r="E28" s="10"/>
      <c r="F28" s="10"/>
      <c r="G28" s="10"/>
      <c r="H28" s="10"/>
      <c r="I28" s="10"/>
      <c r="J28" s="10"/>
      <c r="S28" s="1">
        <v>26.0</v>
      </c>
      <c r="T28" s="2">
        <v>33051.0</v>
      </c>
      <c r="U28" s="2">
        <v>16525.0</v>
      </c>
      <c r="V28" s="1">
        <v>28.0</v>
      </c>
      <c r="W28" s="1">
        <v>26.0</v>
      </c>
      <c r="X28" s="1" t="s">
        <v>67</v>
      </c>
      <c r="AE28" s="1">
        <v>26.0</v>
      </c>
      <c r="AF28" s="2">
        <v>51686.0</v>
      </c>
      <c r="AG28" s="2">
        <v>25843.0</v>
      </c>
      <c r="AH28" s="1">
        <v>29.0</v>
      </c>
      <c r="AI28" s="1">
        <v>26.0</v>
      </c>
      <c r="AJ28" s="1" t="s">
        <v>68</v>
      </c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>
        <v>26.0</v>
      </c>
      <c r="AX28" s="2">
        <v>54905.0</v>
      </c>
      <c r="AY28" s="2">
        <v>27452.0</v>
      </c>
      <c r="AZ28" s="1">
        <v>28.0</v>
      </c>
      <c r="BA28" s="1">
        <v>26.0</v>
      </c>
      <c r="BB28" s="1">
        <v>92.86</v>
      </c>
      <c r="BC28" s="1">
        <v>26.0</v>
      </c>
      <c r="BD28" s="2">
        <v>51397.0</v>
      </c>
      <c r="BE28" s="2">
        <v>25698.0</v>
      </c>
      <c r="BF28" s="1">
        <v>39.0</v>
      </c>
      <c r="BG28" s="1">
        <v>26.0</v>
      </c>
      <c r="BH28" s="1" t="s">
        <v>20</v>
      </c>
      <c r="BI28" s="1"/>
      <c r="BJ28" s="1"/>
      <c r="BK28" s="1"/>
      <c r="BL28" s="1"/>
      <c r="BM28" s="1"/>
      <c r="BN28" s="1"/>
    </row>
    <row r="29">
      <c r="A29" s="10" t="s">
        <v>69</v>
      </c>
      <c r="B29" s="11">
        <v>1.0</v>
      </c>
      <c r="C29" s="11">
        <v>5.0</v>
      </c>
      <c r="D29" s="11">
        <v>10.0</v>
      </c>
      <c r="E29" s="11">
        <v>15.0</v>
      </c>
      <c r="F29" s="11">
        <v>20.0</v>
      </c>
      <c r="G29" s="11">
        <v>30.0</v>
      </c>
      <c r="H29" s="11">
        <v>40.0</v>
      </c>
      <c r="I29" s="11">
        <v>50.0</v>
      </c>
      <c r="J29" s="11">
        <v>60.0</v>
      </c>
      <c r="K29" s="1">
        <v>82.0</v>
      </c>
      <c r="L29" s="1">
        <v>93.0</v>
      </c>
      <c r="S29" s="1">
        <v>27.0</v>
      </c>
      <c r="T29" s="2">
        <v>30101.0</v>
      </c>
      <c r="U29" s="2">
        <v>15050.0</v>
      </c>
      <c r="V29" s="1">
        <v>29.0</v>
      </c>
      <c r="W29" s="1">
        <v>27.0</v>
      </c>
      <c r="X29" s="1" t="s">
        <v>70</v>
      </c>
      <c r="AE29" s="1">
        <v>27.0</v>
      </c>
      <c r="AF29" s="2">
        <v>31148.0</v>
      </c>
      <c r="AG29" s="2">
        <v>15574.0</v>
      </c>
      <c r="AH29" s="1">
        <v>30.0</v>
      </c>
      <c r="AI29" s="1">
        <v>27.0</v>
      </c>
      <c r="AJ29" s="1" t="s">
        <v>32</v>
      </c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>
        <v>27.0</v>
      </c>
      <c r="BD29" s="2">
        <v>35026.0</v>
      </c>
      <c r="BE29" s="2">
        <v>17513.0</v>
      </c>
      <c r="BF29" s="1">
        <v>40.0</v>
      </c>
      <c r="BG29" s="1">
        <v>27.0</v>
      </c>
      <c r="BH29" s="1" t="s">
        <v>71</v>
      </c>
      <c r="BI29" s="1"/>
      <c r="BJ29" s="1"/>
      <c r="BK29" s="1"/>
      <c r="BL29" s="1"/>
      <c r="BM29" s="1"/>
      <c r="BN29" s="1"/>
    </row>
    <row r="30">
      <c r="A30" s="10" t="s">
        <v>72</v>
      </c>
      <c r="B30" s="12">
        <f>AVERAGE(B3:B14)</f>
        <v>30144.16667</v>
      </c>
      <c r="C30" s="12">
        <f>AVERAGE(H3:H14)</f>
        <v>30155.66667</v>
      </c>
      <c r="D30" s="12">
        <f>AVERAGE(N3:N14)</f>
        <v>30416.91667</v>
      </c>
      <c r="E30" s="12">
        <f>AVERAGE(T3:T24)</f>
        <v>30520.90909</v>
      </c>
      <c r="F30" s="12">
        <f>AVERAGE(Z3:Z24)</f>
        <v>30338.36364</v>
      </c>
      <c r="G30" s="12">
        <f>AVERAGE(AF3:AF24)</f>
        <v>30563.86364</v>
      </c>
      <c r="H30" s="12">
        <f>AVERAGE(AL3:AL24)</f>
        <v>32106.27273</v>
      </c>
      <c r="I30" s="12">
        <f>AVERAGE(AR3:AR20,AR22:AR25)</f>
        <v>34273.36364</v>
      </c>
      <c r="J30" s="12">
        <f>AVERAGE(AX3:AX24)</f>
        <v>30656.86364</v>
      </c>
      <c r="K30" s="12">
        <f>AVERAGE(BD3:BD24)</f>
        <v>34736.90909</v>
      </c>
      <c r="L30" s="12">
        <f>AVERAGE(BJ3:BJ5)</f>
        <v>36392</v>
      </c>
      <c r="S30" s="1">
        <v>28.0</v>
      </c>
      <c r="T30" s="2">
        <v>30028.0</v>
      </c>
      <c r="U30" s="2">
        <v>15014.0</v>
      </c>
      <c r="V30" s="1">
        <v>30.0</v>
      </c>
      <c r="W30" s="1">
        <v>28.0</v>
      </c>
      <c r="X30" s="1" t="s">
        <v>73</v>
      </c>
      <c r="AE30" s="1">
        <v>28.0</v>
      </c>
      <c r="AF30" s="2">
        <v>36010.0</v>
      </c>
      <c r="AG30" s="2">
        <v>18005.0</v>
      </c>
      <c r="AH30" s="1">
        <v>31.0</v>
      </c>
      <c r="AI30" s="1">
        <v>28.0</v>
      </c>
      <c r="AJ30" s="1" t="s">
        <v>74</v>
      </c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>
        <v>28.0</v>
      </c>
      <c r="BD30" s="2">
        <v>51951.0</v>
      </c>
      <c r="BE30" s="2">
        <v>25975.0</v>
      </c>
      <c r="BF30" s="1">
        <v>46.0</v>
      </c>
      <c r="BG30" s="1">
        <v>28.0</v>
      </c>
      <c r="BH30" s="1" t="s">
        <v>75</v>
      </c>
      <c r="BI30" s="1"/>
      <c r="BJ30" s="1"/>
      <c r="BK30" s="1"/>
      <c r="BL30" s="1"/>
      <c r="BM30" s="1"/>
      <c r="BN30" s="1"/>
    </row>
    <row r="31">
      <c r="A31" s="10" t="s">
        <v>76</v>
      </c>
      <c r="B31" s="13">
        <f t="shared" ref="B31:L31" si="1">B30/2</f>
        <v>15072.08333</v>
      </c>
      <c r="C31" s="13">
        <f t="shared" si="1"/>
        <v>15077.83333</v>
      </c>
      <c r="D31" s="13">
        <f t="shared" si="1"/>
        <v>15208.45833</v>
      </c>
      <c r="E31" s="13">
        <f t="shared" si="1"/>
        <v>15260.45455</v>
      </c>
      <c r="F31" s="13">
        <f t="shared" si="1"/>
        <v>15169.18182</v>
      </c>
      <c r="G31" s="13">
        <f t="shared" si="1"/>
        <v>15281.93182</v>
      </c>
      <c r="H31" s="13">
        <f t="shared" si="1"/>
        <v>16053.13636</v>
      </c>
      <c r="I31" s="13">
        <f t="shared" si="1"/>
        <v>17136.68182</v>
      </c>
      <c r="J31" s="13">
        <f t="shared" si="1"/>
        <v>15328.43182</v>
      </c>
      <c r="K31" s="13">
        <f t="shared" si="1"/>
        <v>17368.45455</v>
      </c>
      <c r="L31" s="13">
        <f t="shared" si="1"/>
        <v>18196</v>
      </c>
      <c r="S31" s="1">
        <v>29.0</v>
      </c>
      <c r="T31" s="2">
        <v>30043.0</v>
      </c>
      <c r="U31" s="2">
        <v>15021.0</v>
      </c>
      <c r="V31" s="1">
        <v>31.0</v>
      </c>
      <c r="W31" s="1">
        <v>29.0</v>
      </c>
      <c r="X31" s="1" t="s">
        <v>77</v>
      </c>
      <c r="AE31" s="1">
        <v>29.0</v>
      </c>
      <c r="AF31" s="2">
        <v>56371.0</v>
      </c>
      <c r="AG31" s="2">
        <v>28185.0</v>
      </c>
      <c r="AH31" s="1">
        <v>32.0</v>
      </c>
      <c r="AI31" s="1">
        <v>29.0</v>
      </c>
      <c r="AJ31" s="1" t="s">
        <v>78</v>
      </c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>
        <v>29.0</v>
      </c>
      <c r="BD31" s="2">
        <v>29971.0</v>
      </c>
      <c r="BE31" s="2">
        <v>14985.0</v>
      </c>
      <c r="BF31" s="1">
        <v>48.0</v>
      </c>
      <c r="BG31" s="1">
        <v>29.0</v>
      </c>
      <c r="BH31" s="1" t="s">
        <v>79</v>
      </c>
      <c r="BI31" s="1"/>
      <c r="BJ31" s="1"/>
      <c r="BK31" s="1"/>
      <c r="BL31" s="1"/>
      <c r="BM31" s="1"/>
      <c r="BN31" s="1"/>
    </row>
    <row r="32">
      <c r="S32" s="1">
        <v>30.0</v>
      </c>
      <c r="T32" s="2">
        <v>32165.0</v>
      </c>
      <c r="U32" s="2">
        <v>16082.0</v>
      </c>
      <c r="V32" s="1">
        <v>32.0</v>
      </c>
      <c r="W32" s="1">
        <v>30.0</v>
      </c>
      <c r="X32" s="1">
        <v>93.75</v>
      </c>
      <c r="AE32" s="1">
        <v>30.0</v>
      </c>
      <c r="AF32" s="2">
        <v>29892.0</v>
      </c>
      <c r="AG32" s="2">
        <v>14946.0</v>
      </c>
      <c r="AH32" s="1">
        <v>34.0</v>
      </c>
      <c r="AI32" s="1">
        <v>30.0</v>
      </c>
      <c r="AJ32" s="1" t="s">
        <v>46</v>
      </c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>
        <v>30.0</v>
      </c>
      <c r="BD32" s="2">
        <v>36001.0</v>
      </c>
      <c r="BE32" s="2">
        <v>18000.0</v>
      </c>
      <c r="BF32" s="1">
        <v>49.0</v>
      </c>
      <c r="BG32" s="1">
        <v>30.0</v>
      </c>
      <c r="BH32" s="1" t="s">
        <v>80</v>
      </c>
      <c r="BI32" s="1"/>
      <c r="BJ32" s="1"/>
      <c r="BK32" s="1"/>
      <c r="BL32" s="1"/>
      <c r="BM32" s="1"/>
      <c r="BN32" s="1"/>
    </row>
    <row r="33">
      <c r="A33" s="10" t="s">
        <v>66</v>
      </c>
      <c r="AE33" s="1">
        <v>31.0</v>
      </c>
      <c r="AF33" s="2">
        <v>114098.0</v>
      </c>
      <c r="AG33" s="2">
        <v>57049.0</v>
      </c>
      <c r="AH33" s="1">
        <v>35.0</v>
      </c>
      <c r="AI33" s="1">
        <v>31.0</v>
      </c>
      <c r="AJ33" s="1">
        <v>88.57</v>
      </c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>
        <v>31.0</v>
      </c>
      <c r="BD33" s="2">
        <v>30211.0</v>
      </c>
      <c r="BE33" s="2">
        <v>15105.0</v>
      </c>
      <c r="BF33" s="1">
        <v>50.0</v>
      </c>
      <c r="BG33" s="1">
        <v>31.0</v>
      </c>
      <c r="BH33" s="1" t="s">
        <v>81</v>
      </c>
      <c r="BI33" s="1"/>
      <c r="BJ33" s="1"/>
      <c r="BK33" s="1"/>
      <c r="BL33" s="1"/>
      <c r="BM33" s="1"/>
      <c r="BN33" s="1"/>
    </row>
    <row r="34">
      <c r="A34" s="10" t="s">
        <v>69</v>
      </c>
      <c r="B34" s="11">
        <v>1.0</v>
      </c>
      <c r="C34" s="11">
        <v>5.0</v>
      </c>
      <c r="D34" s="11">
        <v>10.0</v>
      </c>
      <c r="E34" s="11">
        <v>15.0</v>
      </c>
      <c r="F34" s="11">
        <v>20.0</v>
      </c>
      <c r="G34" s="11">
        <v>30.0</v>
      </c>
      <c r="H34" s="11">
        <v>40.0</v>
      </c>
      <c r="I34" s="11">
        <v>50.0</v>
      </c>
      <c r="J34" s="11">
        <v>60.0</v>
      </c>
      <c r="K34" s="1">
        <v>82.0</v>
      </c>
      <c r="L34" s="1">
        <v>93.0</v>
      </c>
      <c r="BC34" s="1">
        <v>32.0</v>
      </c>
      <c r="BD34" s="2">
        <v>30011.0</v>
      </c>
      <c r="BE34" s="2">
        <v>15005.0</v>
      </c>
      <c r="BF34" s="1">
        <v>51.0</v>
      </c>
      <c r="BG34" s="1">
        <v>32.0</v>
      </c>
      <c r="BH34" s="1" t="s">
        <v>82</v>
      </c>
    </row>
    <row r="35">
      <c r="A35" s="10" t="s">
        <v>72</v>
      </c>
      <c r="B35" s="13">
        <f t="shared" ref="B35:L35" si="2">B30/1000</f>
        <v>30.14416667</v>
      </c>
      <c r="C35" s="13">
        <f t="shared" si="2"/>
        <v>30.15566667</v>
      </c>
      <c r="D35" s="13">
        <f t="shared" si="2"/>
        <v>30.41691667</v>
      </c>
      <c r="E35" s="13">
        <f t="shared" si="2"/>
        <v>30.52090909</v>
      </c>
      <c r="F35" s="13">
        <f t="shared" si="2"/>
        <v>30.33836364</v>
      </c>
      <c r="G35" s="13">
        <f t="shared" si="2"/>
        <v>30.56386364</v>
      </c>
      <c r="H35" s="13">
        <f t="shared" si="2"/>
        <v>32.10627273</v>
      </c>
      <c r="I35" s="13">
        <f t="shared" si="2"/>
        <v>34.27336364</v>
      </c>
      <c r="J35" s="13">
        <f t="shared" si="2"/>
        <v>30.65686364</v>
      </c>
      <c r="K35" s="13">
        <f t="shared" si="2"/>
        <v>34.73690909</v>
      </c>
      <c r="L35" s="13">
        <f t="shared" si="2"/>
        <v>36.392</v>
      </c>
      <c r="BC35" s="1">
        <v>33.0</v>
      </c>
      <c r="BD35" s="2">
        <v>30104.0</v>
      </c>
      <c r="BE35" s="2">
        <v>15052.0</v>
      </c>
      <c r="BF35" s="1">
        <v>52.0</v>
      </c>
      <c r="BG35" s="1">
        <v>33.0</v>
      </c>
      <c r="BH35" s="1" t="s">
        <v>83</v>
      </c>
    </row>
    <row r="36">
      <c r="A36" s="10" t="s">
        <v>76</v>
      </c>
      <c r="B36" s="13">
        <f t="shared" ref="B36:L36" si="3">B31/1000</f>
        <v>15.07208333</v>
      </c>
      <c r="C36" s="13">
        <f t="shared" si="3"/>
        <v>15.07783333</v>
      </c>
      <c r="D36" s="13">
        <f t="shared" si="3"/>
        <v>15.20845833</v>
      </c>
      <c r="E36" s="13">
        <f t="shared" si="3"/>
        <v>15.26045455</v>
      </c>
      <c r="F36" s="13">
        <f t="shared" si="3"/>
        <v>15.16918182</v>
      </c>
      <c r="G36" s="13">
        <f t="shared" si="3"/>
        <v>15.28193182</v>
      </c>
      <c r="H36" s="13">
        <f t="shared" si="3"/>
        <v>16.05313636</v>
      </c>
      <c r="I36" s="13">
        <f t="shared" si="3"/>
        <v>17.13668182</v>
      </c>
      <c r="J36" s="13">
        <f t="shared" si="3"/>
        <v>15.32843182</v>
      </c>
      <c r="K36" s="13">
        <f t="shared" si="3"/>
        <v>17.36845455</v>
      </c>
      <c r="L36" s="13">
        <f t="shared" si="3"/>
        <v>18.196</v>
      </c>
      <c r="BC36" s="1">
        <v>34.0</v>
      </c>
      <c r="BD36" s="2">
        <v>30046.0</v>
      </c>
      <c r="BE36" s="2">
        <v>15023.0</v>
      </c>
      <c r="BF36" s="1">
        <v>53.0</v>
      </c>
      <c r="BG36" s="1">
        <v>34.0</v>
      </c>
      <c r="BH36" s="1" t="s">
        <v>84</v>
      </c>
    </row>
    <row r="37">
      <c r="BC37" s="1">
        <v>35.0</v>
      </c>
      <c r="BD37" s="2">
        <v>42879.0</v>
      </c>
      <c r="BE37" s="2">
        <v>21439.0</v>
      </c>
      <c r="BF37" s="1">
        <v>54.0</v>
      </c>
      <c r="BG37" s="1">
        <v>35.0</v>
      </c>
      <c r="BH37" s="1" t="s">
        <v>85</v>
      </c>
    </row>
    <row r="38">
      <c r="BC38" s="1">
        <v>36.0</v>
      </c>
      <c r="BD38" s="2">
        <v>38674.0</v>
      </c>
      <c r="BE38" s="2">
        <v>19337.0</v>
      </c>
      <c r="BF38" s="1">
        <v>56.0</v>
      </c>
      <c r="BG38" s="1">
        <v>36.0</v>
      </c>
      <c r="BH38" s="1" t="s">
        <v>34</v>
      </c>
    </row>
    <row r="39">
      <c r="BC39" s="1">
        <v>37.0</v>
      </c>
      <c r="BD39" s="2">
        <v>38001.0</v>
      </c>
      <c r="BE39" s="2">
        <v>19000.0</v>
      </c>
      <c r="BF39" s="1">
        <v>57.0</v>
      </c>
      <c r="BG39" s="1">
        <v>37.0</v>
      </c>
      <c r="BH39" s="1" t="s">
        <v>86</v>
      </c>
    </row>
    <row r="40">
      <c r="BC40" s="1">
        <v>38.0</v>
      </c>
      <c r="BD40" s="2">
        <v>32144.0</v>
      </c>
      <c r="BE40" s="2">
        <v>16072.0</v>
      </c>
      <c r="BF40" s="1">
        <v>58.0</v>
      </c>
      <c r="BG40" s="1">
        <v>38.0</v>
      </c>
      <c r="BH40" s="1" t="s">
        <v>87</v>
      </c>
    </row>
    <row r="41">
      <c r="BC41" s="1">
        <v>39.0</v>
      </c>
      <c r="BD41" s="2">
        <v>30427.0</v>
      </c>
      <c r="BE41" s="2">
        <v>15213.0</v>
      </c>
      <c r="BF41" s="1">
        <v>59.0</v>
      </c>
      <c r="BG41" s="1">
        <v>39.0</v>
      </c>
      <c r="BH41" s="1" t="s">
        <v>88</v>
      </c>
    </row>
    <row r="42">
      <c r="BC42" s="1">
        <v>40.0</v>
      </c>
      <c r="BD42" s="2">
        <v>30104.0</v>
      </c>
      <c r="BE42" s="2">
        <v>15052.0</v>
      </c>
      <c r="BF42" s="1">
        <v>60.0</v>
      </c>
      <c r="BG42" s="1">
        <v>40.0</v>
      </c>
      <c r="BH42" s="1" t="s">
        <v>20</v>
      </c>
    </row>
    <row r="43">
      <c r="A43" s="1" t="s">
        <v>89</v>
      </c>
      <c r="BC43" s="1">
        <v>41.0</v>
      </c>
      <c r="BD43" s="2">
        <v>30095.0</v>
      </c>
      <c r="BE43" s="2">
        <v>15047.0</v>
      </c>
      <c r="BF43" s="1">
        <v>61.0</v>
      </c>
      <c r="BG43" s="1">
        <v>41.0</v>
      </c>
      <c r="BH43" s="1" t="s">
        <v>90</v>
      </c>
    </row>
    <row r="44">
      <c r="A44" s="1" t="s">
        <v>69</v>
      </c>
      <c r="B44" s="10" t="s">
        <v>72</v>
      </c>
      <c r="C44" s="14" t="s">
        <v>91</v>
      </c>
      <c r="D44" s="1" t="s">
        <v>92</v>
      </c>
      <c r="BC44" s="1">
        <v>42.0</v>
      </c>
      <c r="BD44" s="2">
        <v>36054.0</v>
      </c>
      <c r="BE44" s="2">
        <v>18027.0</v>
      </c>
      <c r="BF44" s="1">
        <v>62.0</v>
      </c>
      <c r="BG44" s="1">
        <v>42.0</v>
      </c>
      <c r="BH44" s="1" t="s">
        <v>93</v>
      </c>
    </row>
    <row r="45">
      <c r="A45" s="1">
        <v>1.0</v>
      </c>
      <c r="B45" s="13">
        <f>B35</f>
        <v>30.14416667</v>
      </c>
      <c r="C45" s="13">
        <f t="shared" ref="C45:C55" si="4">B45/2</f>
        <v>15.07208333</v>
      </c>
      <c r="D45" s="13">
        <f>F18</f>
        <v>100</v>
      </c>
      <c r="BC45" s="1">
        <v>43.0</v>
      </c>
      <c r="BD45" s="2">
        <v>30100.0</v>
      </c>
      <c r="BE45" s="2">
        <v>15050.0</v>
      </c>
      <c r="BF45" s="1">
        <v>63.0</v>
      </c>
      <c r="BG45" s="1">
        <v>43.0</v>
      </c>
      <c r="BH45" s="1" t="s">
        <v>94</v>
      </c>
    </row>
    <row r="46">
      <c r="A46" s="1">
        <v>5.0</v>
      </c>
      <c r="B46" s="13">
        <f>C35</f>
        <v>30.15566667</v>
      </c>
      <c r="C46" s="13">
        <f t="shared" si="4"/>
        <v>15.07783333</v>
      </c>
      <c r="D46" s="13">
        <f>L15</f>
        <v>100</v>
      </c>
      <c r="BC46" s="1">
        <v>44.0</v>
      </c>
      <c r="BD46" s="2">
        <v>30100.0</v>
      </c>
      <c r="BE46" s="2">
        <v>15050.0</v>
      </c>
      <c r="BF46" s="1">
        <v>64.0</v>
      </c>
      <c r="BG46" s="1">
        <v>44.0</v>
      </c>
      <c r="BH46" s="1" t="s">
        <v>39</v>
      </c>
    </row>
    <row r="47">
      <c r="A47" s="1">
        <v>10.0</v>
      </c>
      <c r="B47" s="13">
        <f>D35</f>
        <v>30.41691667</v>
      </c>
      <c r="C47" s="13">
        <f t="shared" si="4"/>
        <v>15.20845833</v>
      </c>
      <c r="D47" s="13">
        <f>R14</f>
        <v>100</v>
      </c>
      <c r="BC47" s="1">
        <v>45.0</v>
      </c>
      <c r="BD47" s="2">
        <v>30091.0</v>
      </c>
      <c r="BE47" s="2">
        <v>15045.0</v>
      </c>
      <c r="BF47" s="1">
        <v>65.0</v>
      </c>
      <c r="BG47" s="1">
        <v>45.0</v>
      </c>
      <c r="BH47" s="1" t="s">
        <v>95</v>
      </c>
    </row>
    <row r="48">
      <c r="A48" s="1">
        <v>15.0</v>
      </c>
      <c r="B48" s="13">
        <f>E35</f>
        <v>30.52090909</v>
      </c>
      <c r="C48" s="13">
        <f t="shared" si="4"/>
        <v>15.26045455</v>
      </c>
      <c r="D48" s="13">
        <f>X32</f>
        <v>93.75</v>
      </c>
      <c r="BC48" s="1">
        <v>46.0</v>
      </c>
      <c r="BD48" s="2">
        <v>30080.0</v>
      </c>
      <c r="BE48" s="2">
        <v>15040.0</v>
      </c>
      <c r="BF48" s="1">
        <v>66.0</v>
      </c>
      <c r="BG48" s="1">
        <v>46.0</v>
      </c>
      <c r="BH48" s="1" t="s">
        <v>96</v>
      </c>
    </row>
    <row r="49">
      <c r="A49" s="1">
        <v>20.0</v>
      </c>
      <c r="B49" s="13">
        <f>F35</f>
        <v>30.33836364</v>
      </c>
      <c r="C49" s="13">
        <f t="shared" si="4"/>
        <v>15.16918182</v>
      </c>
      <c r="D49" s="13">
        <f>AD26</f>
        <v>96</v>
      </c>
      <c r="BC49" s="1">
        <v>47.0</v>
      </c>
      <c r="BD49" s="2">
        <v>30080.0</v>
      </c>
      <c r="BE49" s="2">
        <v>15040.0</v>
      </c>
      <c r="BF49" s="1">
        <v>67.0</v>
      </c>
      <c r="BG49" s="1">
        <v>47.0</v>
      </c>
      <c r="BH49" s="1" t="s">
        <v>97</v>
      </c>
    </row>
    <row r="50">
      <c r="A50" s="1">
        <v>30.0</v>
      </c>
      <c r="B50" s="13">
        <f>G35</f>
        <v>30.56386364</v>
      </c>
      <c r="C50" s="13">
        <f t="shared" si="4"/>
        <v>15.28193182</v>
      </c>
      <c r="D50" s="13">
        <f>AJ33</f>
        <v>88.57</v>
      </c>
      <c r="BC50" s="1">
        <v>48.0</v>
      </c>
      <c r="BD50" s="2">
        <v>30088.0</v>
      </c>
      <c r="BE50" s="2">
        <v>15044.0</v>
      </c>
      <c r="BF50" s="1">
        <v>68.0</v>
      </c>
      <c r="BG50" s="1">
        <v>48.0</v>
      </c>
      <c r="BH50" s="1" t="s">
        <v>41</v>
      </c>
    </row>
    <row r="51">
      <c r="A51" s="1">
        <v>40.0</v>
      </c>
      <c r="B51" s="13">
        <f>H35</f>
        <v>32.10627273</v>
      </c>
      <c r="C51" s="13">
        <f t="shared" si="4"/>
        <v>16.05313636</v>
      </c>
      <c r="D51" s="13">
        <f>AP24</f>
        <v>84.62</v>
      </c>
      <c r="BC51" s="1">
        <v>49.0</v>
      </c>
      <c r="BD51" s="2">
        <v>30076.0</v>
      </c>
      <c r="BE51" s="2">
        <v>15038.0</v>
      </c>
      <c r="BF51" s="1">
        <v>69.0</v>
      </c>
      <c r="BG51" s="1">
        <v>49.0</v>
      </c>
      <c r="BH51" s="1" t="s">
        <v>98</v>
      </c>
    </row>
    <row r="52">
      <c r="A52" s="1">
        <v>50.0</v>
      </c>
      <c r="B52" s="13">
        <f>I35</f>
        <v>34.27336364</v>
      </c>
      <c r="C52" s="13">
        <f t="shared" si="4"/>
        <v>17.13668182</v>
      </c>
      <c r="D52" s="13">
        <f>AV20</f>
        <v>64.29</v>
      </c>
      <c r="BC52" s="1">
        <v>50.0</v>
      </c>
      <c r="BD52" s="2">
        <v>31145.0</v>
      </c>
      <c r="BE52" s="2">
        <v>15572.0</v>
      </c>
      <c r="BF52" s="1">
        <v>70.0</v>
      </c>
      <c r="BG52" s="1">
        <v>50.0</v>
      </c>
      <c r="BH52" s="1" t="s">
        <v>25</v>
      </c>
    </row>
    <row r="53">
      <c r="A53" s="1">
        <v>60.0</v>
      </c>
      <c r="B53" s="13">
        <f>J35</f>
        <v>30.65686364</v>
      </c>
      <c r="C53" s="13">
        <f t="shared" si="4"/>
        <v>15.32843182</v>
      </c>
      <c r="D53" s="13">
        <f>BB28</f>
        <v>92.86</v>
      </c>
      <c r="BC53" s="1">
        <v>51.0</v>
      </c>
      <c r="BD53" s="2">
        <v>31125.0</v>
      </c>
      <c r="BE53" s="2">
        <v>15562.0</v>
      </c>
      <c r="BF53" s="1">
        <v>71.0</v>
      </c>
      <c r="BG53" s="1">
        <v>51.0</v>
      </c>
      <c r="BH53" s="1" t="s">
        <v>99</v>
      </c>
    </row>
    <row r="54">
      <c r="A54" s="1">
        <v>82.0</v>
      </c>
      <c r="B54" s="13">
        <f>K35</f>
        <v>34.73690909</v>
      </c>
      <c r="C54" s="13">
        <f t="shared" si="4"/>
        <v>17.36845455</v>
      </c>
      <c r="D54" s="13">
        <f>BH109</f>
        <v>69.93</v>
      </c>
      <c r="BC54" s="1">
        <v>52.0</v>
      </c>
      <c r="BD54" s="2">
        <v>37017.0</v>
      </c>
      <c r="BE54" s="2">
        <v>18508.0</v>
      </c>
      <c r="BF54" s="1">
        <v>72.0</v>
      </c>
      <c r="BG54" s="1">
        <v>52.0</v>
      </c>
      <c r="BH54" s="1" t="s">
        <v>44</v>
      </c>
    </row>
    <row r="55">
      <c r="A55" s="1">
        <v>93.0</v>
      </c>
      <c r="B55" s="13">
        <f>L35</f>
        <v>36.392</v>
      </c>
      <c r="C55" s="13">
        <f t="shared" si="4"/>
        <v>18.196</v>
      </c>
      <c r="D55" s="13">
        <f>BN5</f>
        <v>5.66</v>
      </c>
      <c r="BC55" s="1">
        <v>53.0</v>
      </c>
      <c r="BD55" s="2">
        <v>30130.0</v>
      </c>
      <c r="BE55" s="2">
        <v>15065.0</v>
      </c>
      <c r="BF55" s="1">
        <v>73.0</v>
      </c>
      <c r="BG55" s="1">
        <v>53.0</v>
      </c>
      <c r="BH55" s="1" t="s">
        <v>100</v>
      </c>
    </row>
    <row r="56">
      <c r="BC56" s="1">
        <v>54.0</v>
      </c>
      <c r="BD56" s="2">
        <v>41858.0</v>
      </c>
      <c r="BE56" s="2">
        <v>20929.0</v>
      </c>
      <c r="BF56" s="1">
        <v>74.0</v>
      </c>
      <c r="BG56" s="1">
        <v>54.0</v>
      </c>
      <c r="BH56" s="1" t="s">
        <v>101</v>
      </c>
    </row>
    <row r="57">
      <c r="BC57" s="1">
        <v>55.0</v>
      </c>
      <c r="BD57" s="2">
        <v>29873.0</v>
      </c>
      <c r="BE57" s="2">
        <v>14936.0</v>
      </c>
      <c r="BF57" s="1">
        <v>77.0</v>
      </c>
      <c r="BG57" s="1">
        <v>55.0</v>
      </c>
      <c r="BH57" s="1" t="s">
        <v>25</v>
      </c>
    </row>
    <row r="58">
      <c r="BC58" s="1">
        <v>56.0</v>
      </c>
      <c r="BD58" s="2">
        <v>30075.0</v>
      </c>
      <c r="BE58" s="2">
        <v>15037.0</v>
      </c>
      <c r="BF58" s="1">
        <v>78.0</v>
      </c>
      <c r="BG58" s="1">
        <v>56.0</v>
      </c>
      <c r="BH58" s="1" t="s">
        <v>102</v>
      </c>
    </row>
    <row r="59">
      <c r="BC59" s="1">
        <v>57.0</v>
      </c>
      <c r="BD59" s="2">
        <v>31103.0</v>
      </c>
      <c r="BE59" s="2">
        <v>15551.0</v>
      </c>
      <c r="BF59" s="1">
        <v>79.0</v>
      </c>
      <c r="BG59" s="1">
        <v>57.0</v>
      </c>
      <c r="BH59" s="1" t="s">
        <v>103</v>
      </c>
    </row>
    <row r="60">
      <c r="BC60" s="1">
        <v>58.0</v>
      </c>
      <c r="BD60" s="2">
        <v>30080.0</v>
      </c>
      <c r="BE60" s="2">
        <v>15040.0</v>
      </c>
      <c r="BF60" s="1">
        <v>80.0</v>
      </c>
      <c r="BG60" s="1">
        <v>58.0</v>
      </c>
      <c r="BH60" s="1" t="s">
        <v>104</v>
      </c>
    </row>
    <row r="61">
      <c r="BC61" s="1">
        <v>59.0</v>
      </c>
      <c r="BD61" s="2">
        <v>30040.0</v>
      </c>
      <c r="BE61" s="2">
        <v>15020.0</v>
      </c>
      <c r="BF61" s="1">
        <v>81.0</v>
      </c>
      <c r="BG61" s="1">
        <v>59.0</v>
      </c>
      <c r="BH61" s="1" t="s">
        <v>105</v>
      </c>
    </row>
    <row r="62">
      <c r="BC62" s="1">
        <v>60.0</v>
      </c>
      <c r="BD62" s="2">
        <v>30050.0</v>
      </c>
      <c r="BE62" s="2">
        <v>15025.0</v>
      </c>
      <c r="BF62" s="1">
        <v>82.0</v>
      </c>
      <c r="BG62" s="1">
        <v>60.0</v>
      </c>
      <c r="BH62" s="1" t="s">
        <v>106</v>
      </c>
    </row>
    <row r="63">
      <c r="BC63" s="1">
        <v>61.0</v>
      </c>
      <c r="BD63" s="2">
        <v>30039.0</v>
      </c>
      <c r="BE63" s="2">
        <v>15019.0</v>
      </c>
      <c r="BF63" s="1">
        <v>83.0</v>
      </c>
      <c r="BG63" s="1">
        <v>61.0</v>
      </c>
      <c r="BH63" s="1" t="s">
        <v>107</v>
      </c>
    </row>
    <row r="64">
      <c r="BC64" s="1">
        <v>62.0</v>
      </c>
      <c r="BD64" s="2">
        <v>30079.0</v>
      </c>
      <c r="BE64" s="2">
        <v>15039.0</v>
      </c>
      <c r="BF64" s="1">
        <v>84.0</v>
      </c>
      <c r="BG64" s="1">
        <v>62.0</v>
      </c>
      <c r="BH64" s="1" t="s">
        <v>108</v>
      </c>
    </row>
    <row r="65">
      <c r="BC65" s="1">
        <v>63.0</v>
      </c>
      <c r="BD65" s="2">
        <v>30108.0</v>
      </c>
      <c r="BE65" s="2">
        <v>15054.0</v>
      </c>
      <c r="BF65" s="1">
        <v>85.0</v>
      </c>
      <c r="BG65" s="1">
        <v>63.0</v>
      </c>
      <c r="BH65" s="1" t="s">
        <v>109</v>
      </c>
    </row>
    <row r="66">
      <c r="BC66" s="1">
        <v>64.0</v>
      </c>
      <c r="BD66" s="2">
        <v>32081.0</v>
      </c>
      <c r="BE66" s="2">
        <v>16040.0</v>
      </c>
      <c r="BF66" s="1">
        <v>86.0</v>
      </c>
      <c r="BG66" s="1">
        <v>64.0</v>
      </c>
      <c r="BH66" s="1" t="s">
        <v>110</v>
      </c>
    </row>
    <row r="67">
      <c r="BC67" s="1">
        <v>65.0</v>
      </c>
      <c r="BD67" s="2">
        <v>30041.0</v>
      </c>
      <c r="BE67" s="2">
        <v>15020.0</v>
      </c>
      <c r="BF67" s="1">
        <v>87.0</v>
      </c>
      <c r="BG67" s="1">
        <v>65.0</v>
      </c>
      <c r="BH67" s="1" t="s">
        <v>111</v>
      </c>
    </row>
    <row r="68">
      <c r="BC68" s="1">
        <v>66.0</v>
      </c>
      <c r="BD68" s="2">
        <v>30040.0</v>
      </c>
      <c r="BE68" s="2">
        <v>15020.0</v>
      </c>
      <c r="BF68" s="1">
        <v>88.0</v>
      </c>
      <c r="BG68" s="1">
        <v>66.0</v>
      </c>
      <c r="BH68" s="1" t="s">
        <v>22</v>
      </c>
    </row>
    <row r="69">
      <c r="BC69" s="1">
        <v>67.0</v>
      </c>
      <c r="BD69" s="2">
        <v>30060.0</v>
      </c>
      <c r="BE69" s="2">
        <v>15030.0</v>
      </c>
      <c r="BF69" s="1">
        <v>89.0</v>
      </c>
      <c r="BG69" s="1">
        <v>67.0</v>
      </c>
      <c r="BH69" s="1" t="s">
        <v>112</v>
      </c>
    </row>
    <row r="70">
      <c r="A70" s="1" t="s">
        <v>69</v>
      </c>
      <c r="B70" s="1" t="s">
        <v>113</v>
      </c>
      <c r="BC70" s="1">
        <v>68.0</v>
      </c>
      <c r="BD70" s="2">
        <v>30073.0</v>
      </c>
      <c r="BE70" s="2">
        <v>15036.0</v>
      </c>
      <c r="BF70" s="1">
        <v>90.0</v>
      </c>
      <c r="BG70" s="1">
        <v>68.0</v>
      </c>
      <c r="BH70" s="1" t="s">
        <v>114</v>
      </c>
    </row>
    <row r="71">
      <c r="A71" s="1">
        <v>1.0</v>
      </c>
      <c r="B71" s="2">
        <v>31179.0</v>
      </c>
      <c r="BC71" s="1">
        <v>69.0</v>
      </c>
      <c r="BD71" s="2">
        <v>31184.0</v>
      </c>
      <c r="BE71" s="2">
        <v>15592.0</v>
      </c>
      <c r="BF71" s="1">
        <v>91.0</v>
      </c>
      <c r="BG71" s="1">
        <v>69.0</v>
      </c>
      <c r="BH71" s="1" t="s">
        <v>115</v>
      </c>
    </row>
    <row r="72">
      <c r="A72" s="1">
        <v>1.0</v>
      </c>
      <c r="B72" s="2">
        <v>30146.0</v>
      </c>
      <c r="BC72" s="1">
        <v>70.0</v>
      </c>
      <c r="BD72" s="2">
        <v>30096.0</v>
      </c>
      <c r="BE72" s="2">
        <v>15048.0</v>
      </c>
      <c r="BF72" s="1">
        <v>92.0</v>
      </c>
      <c r="BG72" s="1">
        <v>70.0</v>
      </c>
      <c r="BH72" s="1" t="s">
        <v>116</v>
      </c>
    </row>
    <row r="73">
      <c r="A73" s="1">
        <v>1.0</v>
      </c>
      <c r="B73" s="2">
        <v>30000.0</v>
      </c>
      <c r="BC73" s="1">
        <v>71.0</v>
      </c>
      <c r="BD73" s="2">
        <v>33886.0</v>
      </c>
      <c r="BE73" s="2">
        <v>16943.0</v>
      </c>
      <c r="BF73" s="1">
        <v>93.0</v>
      </c>
      <c r="BG73" s="1">
        <v>71.0</v>
      </c>
      <c r="BH73" s="1" t="s">
        <v>117</v>
      </c>
    </row>
    <row r="74">
      <c r="A74" s="1">
        <v>1.0</v>
      </c>
      <c r="B74" s="2">
        <v>30045.0</v>
      </c>
      <c r="BC74" s="1">
        <v>72.0</v>
      </c>
      <c r="BD74" s="2">
        <v>34934.0</v>
      </c>
      <c r="BE74" s="2">
        <v>17467.0</v>
      </c>
      <c r="BF74" s="1">
        <v>94.0</v>
      </c>
      <c r="BG74" s="1">
        <v>72.0</v>
      </c>
      <c r="BH74" s="1" t="s">
        <v>118</v>
      </c>
    </row>
    <row r="75">
      <c r="A75" s="1">
        <v>1.0</v>
      </c>
      <c r="B75" s="2">
        <v>29973.0</v>
      </c>
      <c r="BC75" s="1">
        <v>73.0</v>
      </c>
      <c r="BD75" s="2">
        <v>30040.0</v>
      </c>
      <c r="BE75" s="2">
        <v>15020.0</v>
      </c>
      <c r="BF75" s="1">
        <v>95.0</v>
      </c>
      <c r="BG75" s="1">
        <v>73.0</v>
      </c>
      <c r="BH75" s="1" t="s">
        <v>119</v>
      </c>
    </row>
    <row r="76">
      <c r="A76" s="1">
        <v>1.0</v>
      </c>
      <c r="B76" s="2">
        <v>30134.0</v>
      </c>
      <c r="BC76" s="1">
        <v>74.0</v>
      </c>
      <c r="BD76" s="2">
        <v>30102.0</v>
      </c>
      <c r="BE76" s="2">
        <v>15051.0</v>
      </c>
      <c r="BF76" s="1">
        <v>96.0</v>
      </c>
      <c r="BG76" s="1">
        <v>74.0</v>
      </c>
      <c r="BH76" s="1" t="s">
        <v>120</v>
      </c>
    </row>
    <row r="77">
      <c r="A77" s="1">
        <v>1.0</v>
      </c>
      <c r="B77" s="2">
        <v>30069.0</v>
      </c>
      <c r="BC77" s="1">
        <v>75.0</v>
      </c>
      <c r="BD77" s="2">
        <v>30074.0</v>
      </c>
      <c r="BE77" s="2">
        <v>15037.0</v>
      </c>
      <c r="BF77" s="1">
        <v>97.0</v>
      </c>
      <c r="BG77" s="1">
        <v>75.0</v>
      </c>
      <c r="BH77" s="1" t="s">
        <v>121</v>
      </c>
    </row>
    <row r="78">
      <c r="A78" s="1">
        <v>1.0</v>
      </c>
      <c r="B78" s="2">
        <v>30027.0</v>
      </c>
      <c r="BC78" s="1">
        <v>76.0</v>
      </c>
      <c r="BD78" s="2">
        <v>30154.0</v>
      </c>
      <c r="BE78" s="2">
        <v>15077.0</v>
      </c>
      <c r="BF78" s="1">
        <v>98.0</v>
      </c>
      <c r="BG78" s="1">
        <v>76.0</v>
      </c>
      <c r="BH78" s="1" t="s">
        <v>122</v>
      </c>
    </row>
    <row r="79">
      <c r="A79" s="1">
        <v>1.0</v>
      </c>
      <c r="B79" s="2">
        <v>30045.0</v>
      </c>
      <c r="BC79" s="1">
        <v>77.0</v>
      </c>
      <c r="BD79" s="2">
        <v>33953.0</v>
      </c>
      <c r="BE79" s="2">
        <v>16976.0</v>
      </c>
      <c r="BF79" s="1">
        <v>99.0</v>
      </c>
      <c r="BG79" s="1">
        <v>77.0</v>
      </c>
      <c r="BH79" s="1" t="s">
        <v>123</v>
      </c>
    </row>
    <row r="80">
      <c r="A80" s="1">
        <v>1.0</v>
      </c>
      <c r="B80" s="2">
        <v>30053.0</v>
      </c>
      <c r="BC80" s="1">
        <v>78.0</v>
      </c>
      <c r="BD80" s="2">
        <v>30188.0</v>
      </c>
      <c r="BE80" s="2">
        <v>15094.0</v>
      </c>
      <c r="BF80" s="1">
        <v>100.0</v>
      </c>
      <c r="BG80" s="1">
        <v>78.0</v>
      </c>
      <c r="BH80" s="1" t="s">
        <v>124</v>
      </c>
    </row>
    <row r="81">
      <c r="A81" s="1">
        <v>1.0</v>
      </c>
      <c r="B81" s="2">
        <v>30082.0</v>
      </c>
      <c r="BC81" s="1">
        <v>79.0</v>
      </c>
      <c r="BD81" s="2">
        <v>30015.0</v>
      </c>
      <c r="BE81" s="2">
        <v>15007.0</v>
      </c>
      <c r="BF81" s="1">
        <v>101.0</v>
      </c>
      <c r="BG81" s="1">
        <v>79.0</v>
      </c>
      <c r="BH81" s="1" t="s">
        <v>125</v>
      </c>
    </row>
    <row r="82">
      <c r="A82" s="1">
        <v>1.0</v>
      </c>
      <c r="B82" s="2">
        <v>29977.0</v>
      </c>
      <c r="BC82" s="1">
        <v>80.0</v>
      </c>
      <c r="BD82" s="2">
        <v>30066.0</v>
      </c>
      <c r="BE82" s="2">
        <v>15033.0</v>
      </c>
      <c r="BF82" s="1">
        <v>102.0</v>
      </c>
      <c r="BG82" s="1">
        <v>80.0</v>
      </c>
      <c r="BH82" s="1" t="s">
        <v>126</v>
      </c>
    </row>
    <row r="83">
      <c r="A83" s="1">
        <v>1.0</v>
      </c>
      <c r="B83" s="2">
        <v>30071.0</v>
      </c>
      <c r="BC83" s="1">
        <v>81.0</v>
      </c>
      <c r="BD83" s="2">
        <v>31136.0</v>
      </c>
      <c r="BE83" s="2">
        <v>15568.0</v>
      </c>
      <c r="BF83" s="1">
        <v>103.0</v>
      </c>
      <c r="BG83" s="1">
        <v>81.0</v>
      </c>
      <c r="BH83" s="1" t="s">
        <v>127</v>
      </c>
    </row>
    <row r="84">
      <c r="A84" s="1">
        <v>1.0</v>
      </c>
      <c r="B84" s="2">
        <v>30069.0</v>
      </c>
      <c r="BC84" s="1">
        <v>82.0</v>
      </c>
      <c r="BD84" s="2">
        <v>40605.0</v>
      </c>
      <c r="BE84" s="2">
        <v>20302.0</v>
      </c>
      <c r="BF84" s="1">
        <v>111.0</v>
      </c>
      <c r="BG84" s="1">
        <v>82.0</v>
      </c>
      <c r="BH84" s="1" t="s">
        <v>128</v>
      </c>
    </row>
    <row r="85">
      <c r="A85" s="1">
        <v>1.0</v>
      </c>
      <c r="B85" s="2">
        <v>30058.0</v>
      </c>
      <c r="BC85" s="1">
        <v>83.0</v>
      </c>
      <c r="BD85" s="2">
        <v>30044.0</v>
      </c>
      <c r="BE85" s="2">
        <v>15022.0</v>
      </c>
      <c r="BF85" s="1">
        <v>112.0</v>
      </c>
      <c r="BG85" s="1">
        <v>83.0</v>
      </c>
      <c r="BH85" s="1" t="s">
        <v>129</v>
      </c>
    </row>
    <row r="86">
      <c r="A86" s="1">
        <v>1.0</v>
      </c>
      <c r="B86" s="2">
        <v>30029.0</v>
      </c>
      <c r="BC86" s="1">
        <v>84.0</v>
      </c>
      <c r="BD86" s="2">
        <v>30186.0</v>
      </c>
      <c r="BE86" s="2">
        <v>15093.0</v>
      </c>
      <c r="BF86" s="1">
        <v>113.0</v>
      </c>
      <c r="BG86" s="1">
        <v>84.0</v>
      </c>
      <c r="BH86" s="1" t="s">
        <v>130</v>
      </c>
    </row>
    <row r="87">
      <c r="A87" s="1">
        <v>5.0</v>
      </c>
      <c r="B87" s="2">
        <v>31106.0</v>
      </c>
      <c r="BC87" s="1">
        <v>85.0</v>
      </c>
      <c r="BD87" s="2">
        <v>33904.0</v>
      </c>
      <c r="BE87" s="2">
        <v>16952.0</v>
      </c>
      <c r="BF87" s="1">
        <v>114.0</v>
      </c>
      <c r="BG87" s="1">
        <v>85.0</v>
      </c>
      <c r="BH87" s="1" t="s">
        <v>131</v>
      </c>
    </row>
    <row r="88">
      <c r="A88" s="1">
        <v>5.0</v>
      </c>
      <c r="B88" s="2">
        <v>30133.0</v>
      </c>
      <c r="BC88" s="1">
        <v>86.0</v>
      </c>
      <c r="BD88" s="2">
        <v>32048.0</v>
      </c>
      <c r="BE88" s="2">
        <v>16024.0</v>
      </c>
      <c r="BF88" s="1">
        <v>115.0</v>
      </c>
      <c r="BG88" s="1">
        <v>86.0</v>
      </c>
      <c r="BH88" s="1" t="s">
        <v>132</v>
      </c>
    </row>
    <row r="89">
      <c r="A89" s="1">
        <v>5.0</v>
      </c>
      <c r="B89" s="2">
        <v>30107.0</v>
      </c>
      <c r="BC89" s="1">
        <v>87.0</v>
      </c>
      <c r="BD89" s="2">
        <v>54551.0</v>
      </c>
      <c r="BE89" s="2">
        <v>27275.0</v>
      </c>
      <c r="BF89" s="1">
        <v>116.0</v>
      </c>
      <c r="BG89" s="1">
        <v>87.0</v>
      </c>
      <c r="BH89" s="1" t="s">
        <v>22</v>
      </c>
    </row>
    <row r="90">
      <c r="A90" s="1">
        <v>5.0</v>
      </c>
      <c r="B90" s="2">
        <v>30133.0</v>
      </c>
      <c r="BC90" s="1">
        <v>88.0</v>
      </c>
      <c r="BD90" s="2">
        <v>60016.0</v>
      </c>
      <c r="BE90" s="2">
        <v>30008.0</v>
      </c>
      <c r="BF90" s="1">
        <v>117.0</v>
      </c>
      <c r="BG90" s="1">
        <v>88.0</v>
      </c>
      <c r="BH90" s="1" t="s">
        <v>133</v>
      </c>
    </row>
    <row r="91">
      <c r="A91" s="1">
        <v>5.0</v>
      </c>
      <c r="B91" s="2">
        <v>29959.0</v>
      </c>
      <c r="BC91" s="1">
        <v>89.0</v>
      </c>
      <c r="BD91" s="2">
        <v>34832.0</v>
      </c>
      <c r="BE91" s="2">
        <v>17416.0</v>
      </c>
      <c r="BF91" s="1">
        <v>119.0</v>
      </c>
      <c r="BG91" s="1">
        <v>89.0</v>
      </c>
      <c r="BH91" s="1" t="s">
        <v>134</v>
      </c>
    </row>
    <row r="92">
      <c r="A92" s="1">
        <v>5.0</v>
      </c>
      <c r="B92" s="2">
        <v>30134.0</v>
      </c>
      <c r="BC92" s="1">
        <v>90.0</v>
      </c>
      <c r="BD92" s="2">
        <v>30128.0</v>
      </c>
      <c r="BE92" s="2">
        <v>15064.0</v>
      </c>
      <c r="BF92" s="1">
        <v>120.0</v>
      </c>
      <c r="BG92" s="1">
        <v>90.0</v>
      </c>
      <c r="BH92" s="1" t="s">
        <v>22</v>
      </c>
    </row>
    <row r="93">
      <c r="A93" s="1">
        <v>5.0</v>
      </c>
      <c r="B93" s="2">
        <v>30077.0</v>
      </c>
      <c r="BC93" s="1">
        <v>91.0</v>
      </c>
      <c r="BD93" s="2">
        <v>31131.0</v>
      </c>
      <c r="BE93" s="2">
        <v>15565.0</v>
      </c>
      <c r="BF93" s="1">
        <v>121.0</v>
      </c>
      <c r="BG93" s="1">
        <v>91.0</v>
      </c>
      <c r="BH93" s="1" t="s">
        <v>133</v>
      </c>
    </row>
    <row r="94">
      <c r="A94" s="1">
        <v>5.0</v>
      </c>
      <c r="B94" s="2">
        <v>30032.0</v>
      </c>
      <c r="BC94" s="1">
        <v>92.0</v>
      </c>
      <c r="BD94" s="2">
        <v>30051.0</v>
      </c>
      <c r="BE94" s="2">
        <v>15025.0</v>
      </c>
      <c r="BF94" s="1">
        <v>122.0</v>
      </c>
      <c r="BG94" s="1">
        <v>92.0</v>
      </c>
      <c r="BH94" s="1" t="s">
        <v>135</v>
      </c>
    </row>
    <row r="95">
      <c r="A95" s="1">
        <v>5.0</v>
      </c>
      <c r="B95" s="2">
        <v>30062.0</v>
      </c>
      <c r="BC95" s="1">
        <v>93.0</v>
      </c>
      <c r="BD95" s="2">
        <v>30086.0</v>
      </c>
      <c r="BE95" s="2">
        <v>15043.0</v>
      </c>
      <c r="BF95" s="1">
        <v>123.0</v>
      </c>
      <c r="BG95" s="1">
        <v>93.0</v>
      </c>
      <c r="BH95" s="1" t="s">
        <v>136</v>
      </c>
    </row>
    <row r="96">
      <c r="A96" s="1">
        <v>5.0</v>
      </c>
      <c r="B96" s="2">
        <v>30025.0</v>
      </c>
      <c r="BC96" s="1">
        <v>94.0</v>
      </c>
      <c r="BD96" s="2">
        <v>30039.0</v>
      </c>
      <c r="BE96" s="2">
        <v>15019.0</v>
      </c>
      <c r="BF96" s="1">
        <v>124.0</v>
      </c>
      <c r="BG96" s="1">
        <v>94.0</v>
      </c>
      <c r="BH96" s="1" t="s">
        <v>137</v>
      </c>
    </row>
    <row r="97">
      <c r="A97" s="1">
        <v>5.0</v>
      </c>
      <c r="B97" s="2">
        <v>30041.0</v>
      </c>
      <c r="BC97" s="1">
        <v>95.0</v>
      </c>
      <c r="BD97" s="2">
        <v>30056.0</v>
      </c>
      <c r="BE97" s="2">
        <v>15028.0</v>
      </c>
      <c r="BF97" s="1">
        <v>125.0</v>
      </c>
      <c r="BG97" s="1">
        <v>95.0</v>
      </c>
      <c r="BH97" s="1" t="s">
        <v>138</v>
      </c>
    </row>
    <row r="98">
      <c r="A98" s="1">
        <v>5.0</v>
      </c>
      <c r="B98" s="2">
        <v>30059.0</v>
      </c>
      <c r="BC98" s="1">
        <v>96.0</v>
      </c>
      <c r="BD98" s="2">
        <v>31113.0</v>
      </c>
      <c r="BE98" s="2">
        <v>15556.0</v>
      </c>
      <c r="BF98" s="1">
        <v>126.0</v>
      </c>
      <c r="BG98" s="1">
        <v>96.0</v>
      </c>
      <c r="BH98" s="1" t="s">
        <v>139</v>
      </c>
    </row>
    <row r="99">
      <c r="A99" s="1">
        <v>5.0</v>
      </c>
      <c r="B99" s="2">
        <v>30009.0</v>
      </c>
      <c r="BC99" s="1">
        <v>97.0</v>
      </c>
      <c r="BD99" s="2">
        <v>32132.0</v>
      </c>
      <c r="BE99" s="2">
        <v>16066.0</v>
      </c>
      <c r="BF99" s="1">
        <v>127.0</v>
      </c>
      <c r="BG99" s="1">
        <v>97.0</v>
      </c>
      <c r="BH99" s="1" t="s">
        <v>140</v>
      </c>
    </row>
    <row r="100">
      <c r="A100" s="1">
        <v>10.0</v>
      </c>
      <c r="B100" s="2">
        <v>31138.0</v>
      </c>
      <c r="BC100" s="1">
        <v>98.0</v>
      </c>
      <c r="BD100" s="2">
        <v>32947.0</v>
      </c>
      <c r="BE100" s="2">
        <v>16473.0</v>
      </c>
      <c r="BF100" s="1">
        <v>136.0</v>
      </c>
      <c r="BG100" s="1">
        <v>98.0</v>
      </c>
      <c r="BH100" s="1" t="s">
        <v>141</v>
      </c>
    </row>
    <row r="101">
      <c r="A101" s="1">
        <v>10.0</v>
      </c>
      <c r="B101" s="2">
        <v>30142.0</v>
      </c>
      <c r="BC101" s="1">
        <v>99.0</v>
      </c>
      <c r="BD101" s="2">
        <v>30064.0</v>
      </c>
      <c r="BE101" s="2">
        <v>15032.0</v>
      </c>
      <c r="BF101" s="1">
        <v>137.0</v>
      </c>
      <c r="BG101" s="1">
        <v>99.0</v>
      </c>
      <c r="BH101" s="1" t="s">
        <v>142</v>
      </c>
    </row>
    <row r="102">
      <c r="A102" s="1">
        <v>10.0</v>
      </c>
      <c r="B102" s="2">
        <v>30032.0</v>
      </c>
      <c r="BC102" s="1">
        <v>100.0</v>
      </c>
      <c r="BD102" s="2">
        <v>31085.0</v>
      </c>
      <c r="BE102" s="2">
        <v>15542.0</v>
      </c>
      <c r="BF102" s="1">
        <v>138.0</v>
      </c>
      <c r="BG102" s="1">
        <v>100.0</v>
      </c>
      <c r="BH102" s="1" t="s">
        <v>143</v>
      </c>
    </row>
    <row r="103">
      <c r="A103" s="1">
        <v>10.0</v>
      </c>
      <c r="B103" s="2">
        <v>33278.0</v>
      </c>
      <c r="BC103" s="1">
        <v>101.0</v>
      </c>
      <c r="BD103" s="2">
        <v>46286.0</v>
      </c>
      <c r="BE103" s="2">
        <v>23143.0</v>
      </c>
      <c r="BF103" s="1">
        <v>140.0</v>
      </c>
      <c r="BG103" s="1">
        <v>101.0</v>
      </c>
      <c r="BH103" s="1" t="s">
        <v>144</v>
      </c>
    </row>
    <row r="104">
      <c r="A104" s="1">
        <v>10.0</v>
      </c>
      <c r="B104" s="2">
        <v>30055.0</v>
      </c>
      <c r="BC104" s="1">
        <v>102.0</v>
      </c>
      <c r="BD104" s="2">
        <v>36036.0</v>
      </c>
      <c r="BE104" s="2">
        <v>18018.0</v>
      </c>
      <c r="BF104" s="1">
        <v>141.0</v>
      </c>
      <c r="BG104" s="1">
        <v>102.0</v>
      </c>
      <c r="BH104" s="1" t="s">
        <v>145</v>
      </c>
    </row>
    <row r="105">
      <c r="A105" s="1">
        <v>10.0</v>
      </c>
      <c r="B105" s="2">
        <v>30158.0</v>
      </c>
      <c r="BC105" s="1">
        <v>103.0</v>
      </c>
      <c r="BD105" s="2">
        <v>36951.0</v>
      </c>
      <c r="BE105" s="2">
        <v>18475.0</v>
      </c>
      <c r="BF105" s="1">
        <v>142.0</v>
      </c>
      <c r="BG105" s="1">
        <v>103.0</v>
      </c>
      <c r="BH105" s="1" t="s">
        <v>146</v>
      </c>
    </row>
    <row r="106">
      <c r="A106" s="1">
        <v>10.0</v>
      </c>
      <c r="B106" s="2">
        <v>30016.0</v>
      </c>
      <c r="BC106" s="1">
        <v>104.0</v>
      </c>
      <c r="BD106" s="2">
        <v>44566.0</v>
      </c>
      <c r="BE106" s="2">
        <v>22283.0</v>
      </c>
      <c r="BF106" s="1">
        <v>143.0</v>
      </c>
      <c r="BG106" s="1">
        <v>104.0</v>
      </c>
      <c r="BH106" s="1" t="s">
        <v>31</v>
      </c>
    </row>
    <row r="107">
      <c r="A107" s="1">
        <v>10.0</v>
      </c>
      <c r="B107" s="2">
        <v>30032.0</v>
      </c>
      <c r="BC107" s="1">
        <v>105.0</v>
      </c>
      <c r="BD107" s="2">
        <v>29947.0</v>
      </c>
      <c r="BE107" s="2">
        <v>14973.0</v>
      </c>
      <c r="BF107" s="1">
        <v>151.0</v>
      </c>
      <c r="BG107" s="1">
        <v>105.0</v>
      </c>
      <c r="BH107" s="1" t="s">
        <v>147</v>
      </c>
    </row>
    <row r="108">
      <c r="A108" s="1">
        <v>10.0</v>
      </c>
      <c r="B108" s="2">
        <v>30026.0</v>
      </c>
      <c r="BC108" s="1">
        <v>106.0</v>
      </c>
      <c r="BD108" s="2">
        <v>31072.0</v>
      </c>
      <c r="BE108" s="2">
        <v>15536.0</v>
      </c>
      <c r="BF108" s="1">
        <v>152.0</v>
      </c>
      <c r="BG108" s="1">
        <v>106.0</v>
      </c>
      <c r="BH108" s="1" t="s">
        <v>148</v>
      </c>
    </row>
    <row r="109">
      <c r="A109" s="1">
        <v>10.0</v>
      </c>
      <c r="B109" s="2">
        <v>30048.0</v>
      </c>
      <c r="BC109" s="1">
        <v>107.0</v>
      </c>
      <c r="BD109" s="2">
        <v>31295.0</v>
      </c>
      <c r="BE109" s="2">
        <v>15647.0</v>
      </c>
      <c r="BF109" s="1">
        <v>153.0</v>
      </c>
      <c r="BG109" s="1">
        <v>107.0</v>
      </c>
      <c r="BH109" s="1">
        <v>69.93</v>
      </c>
    </row>
    <row r="110">
      <c r="A110" s="1">
        <v>10.0</v>
      </c>
      <c r="B110" s="2">
        <v>30029.0</v>
      </c>
    </row>
    <row r="111">
      <c r="A111" s="1">
        <v>10.0</v>
      </c>
      <c r="B111" s="2">
        <v>30049.0</v>
      </c>
    </row>
    <row r="112">
      <c r="A112" s="1">
        <v>15.0</v>
      </c>
      <c r="B112" s="2">
        <v>31151.0</v>
      </c>
    </row>
    <row r="113">
      <c r="A113" s="1">
        <v>15.0</v>
      </c>
      <c r="B113" s="2">
        <v>30043.0</v>
      </c>
    </row>
    <row r="114">
      <c r="A114" s="1">
        <v>15.0</v>
      </c>
      <c r="B114" s="2">
        <v>30042.0</v>
      </c>
    </row>
    <row r="115">
      <c r="A115" s="1">
        <v>15.0</v>
      </c>
      <c r="B115" s="2">
        <v>30130.0</v>
      </c>
    </row>
    <row r="116">
      <c r="A116" s="1">
        <v>15.0</v>
      </c>
      <c r="B116" s="2">
        <v>31240.0</v>
      </c>
    </row>
    <row r="117">
      <c r="A117" s="1">
        <v>15.0</v>
      </c>
      <c r="B117" s="2">
        <v>30120.0</v>
      </c>
    </row>
    <row r="118">
      <c r="A118" s="1">
        <v>15.0</v>
      </c>
      <c r="B118" s="2">
        <v>30027.0</v>
      </c>
    </row>
    <row r="119">
      <c r="A119" s="1">
        <v>15.0</v>
      </c>
      <c r="B119" s="2">
        <v>30059.0</v>
      </c>
    </row>
    <row r="120">
      <c r="A120" s="1">
        <v>15.0</v>
      </c>
      <c r="B120" s="2">
        <v>30037.0</v>
      </c>
    </row>
    <row r="121">
      <c r="A121" s="1">
        <v>15.0</v>
      </c>
      <c r="B121" s="2">
        <v>30051.0</v>
      </c>
    </row>
    <row r="122">
      <c r="A122" s="1">
        <v>15.0</v>
      </c>
      <c r="B122" s="2">
        <v>30072.0</v>
      </c>
    </row>
    <row r="123">
      <c r="A123" s="1">
        <v>15.0</v>
      </c>
      <c r="B123" s="2">
        <v>30040.0</v>
      </c>
    </row>
    <row r="124">
      <c r="A124" s="1">
        <v>15.0</v>
      </c>
      <c r="B124" s="2">
        <v>30054.0</v>
      </c>
    </row>
    <row r="125">
      <c r="A125" s="1">
        <v>15.0</v>
      </c>
      <c r="B125" s="2">
        <v>30047.0</v>
      </c>
    </row>
    <row r="126">
      <c r="A126" s="1">
        <v>15.0</v>
      </c>
      <c r="B126" s="2">
        <v>30042.0</v>
      </c>
    </row>
    <row r="127">
      <c r="A127" s="1">
        <v>15.0</v>
      </c>
      <c r="B127" s="2">
        <v>30043.0</v>
      </c>
    </row>
    <row r="128">
      <c r="A128" s="1">
        <v>15.0</v>
      </c>
      <c r="B128" s="2">
        <v>30054.0</v>
      </c>
    </row>
    <row r="129">
      <c r="A129" s="1">
        <v>15.0</v>
      </c>
      <c r="B129" s="2">
        <v>30043.0</v>
      </c>
    </row>
    <row r="130">
      <c r="A130" s="1">
        <v>15.0</v>
      </c>
      <c r="B130" s="2">
        <v>30026.0</v>
      </c>
    </row>
    <row r="131">
      <c r="A131" s="1">
        <v>15.0</v>
      </c>
      <c r="B131" s="2">
        <v>34436.0</v>
      </c>
    </row>
    <row r="132">
      <c r="A132" s="1">
        <v>15.0</v>
      </c>
      <c r="B132" s="2">
        <v>30146.0</v>
      </c>
    </row>
    <row r="133">
      <c r="A133" s="1">
        <v>15.0</v>
      </c>
      <c r="B133" s="5">
        <v>33557.0</v>
      </c>
    </row>
    <row r="134">
      <c r="A134" s="1">
        <v>20.0</v>
      </c>
      <c r="B134" s="2">
        <v>31033.0</v>
      </c>
    </row>
    <row r="135">
      <c r="A135" s="1">
        <v>20.0</v>
      </c>
      <c r="B135" s="2">
        <v>30066.0</v>
      </c>
    </row>
    <row r="136">
      <c r="A136" s="1">
        <v>20.0</v>
      </c>
      <c r="B136" s="2">
        <v>29946.0</v>
      </c>
    </row>
    <row r="137">
      <c r="A137" s="1">
        <v>20.0</v>
      </c>
      <c r="B137" s="2">
        <v>30179.0</v>
      </c>
    </row>
    <row r="138">
      <c r="A138" s="1">
        <v>20.0</v>
      </c>
      <c r="B138" s="2">
        <v>29981.0</v>
      </c>
    </row>
    <row r="139">
      <c r="A139" s="1">
        <v>20.0</v>
      </c>
      <c r="B139" s="2">
        <v>30084.0</v>
      </c>
    </row>
    <row r="140">
      <c r="A140" s="1">
        <v>20.0</v>
      </c>
      <c r="B140" s="2">
        <v>29952.0</v>
      </c>
    </row>
    <row r="141">
      <c r="A141" s="1">
        <v>20.0</v>
      </c>
      <c r="B141" s="2">
        <v>29918.0</v>
      </c>
    </row>
    <row r="142">
      <c r="A142" s="1">
        <v>20.0</v>
      </c>
      <c r="B142" s="2">
        <v>30002.0</v>
      </c>
    </row>
    <row r="143">
      <c r="A143" s="1">
        <v>20.0</v>
      </c>
      <c r="B143" s="2">
        <v>30029.0</v>
      </c>
    </row>
    <row r="144">
      <c r="A144" s="1">
        <v>20.0</v>
      </c>
      <c r="B144" s="2">
        <v>30045.0</v>
      </c>
    </row>
    <row r="145">
      <c r="A145" s="1">
        <v>20.0</v>
      </c>
      <c r="B145" s="2">
        <v>33013.0</v>
      </c>
    </row>
    <row r="146">
      <c r="A146" s="1">
        <v>20.0</v>
      </c>
      <c r="B146" s="2">
        <v>30044.0</v>
      </c>
    </row>
    <row r="147">
      <c r="A147" s="1">
        <v>20.0</v>
      </c>
      <c r="B147" s="2">
        <v>30038.0</v>
      </c>
    </row>
    <row r="148">
      <c r="A148" s="1">
        <v>20.0</v>
      </c>
      <c r="B148" s="2">
        <v>30024.0</v>
      </c>
    </row>
    <row r="149">
      <c r="A149" s="1">
        <v>20.0</v>
      </c>
      <c r="B149" s="2">
        <v>30038.0</v>
      </c>
    </row>
    <row r="150">
      <c r="A150" s="1">
        <v>20.0</v>
      </c>
      <c r="B150" s="2">
        <v>30027.0</v>
      </c>
    </row>
    <row r="151">
      <c r="A151" s="1">
        <v>20.0</v>
      </c>
      <c r="B151" s="2">
        <v>30011.0</v>
      </c>
    </row>
    <row r="152">
      <c r="A152" s="1">
        <v>20.0</v>
      </c>
      <c r="B152" s="2">
        <v>32966.0</v>
      </c>
    </row>
    <row r="153">
      <c r="A153" s="1">
        <v>20.0</v>
      </c>
      <c r="B153" s="2">
        <v>30047.0</v>
      </c>
    </row>
    <row r="154">
      <c r="A154" s="1">
        <v>20.0</v>
      </c>
      <c r="B154" s="2">
        <v>30015.0</v>
      </c>
    </row>
    <row r="155">
      <c r="A155" s="1">
        <v>20.0</v>
      </c>
      <c r="B155" s="5">
        <v>29986.0</v>
      </c>
    </row>
    <row r="156">
      <c r="A156" s="1">
        <v>30.0</v>
      </c>
      <c r="B156" s="2">
        <v>41963.0</v>
      </c>
    </row>
    <row r="157">
      <c r="A157" s="1">
        <v>30.0</v>
      </c>
      <c r="B157" s="2">
        <v>30134.0</v>
      </c>
    </row>
    <row r="158">
      <c r="A158" s="1">
        <v>30.0</v>
      </c>
      <c r="B158" s="2">
        <v>30029.0</v>
      </c>
    </row>
    <row r="159">
      <c r="A159" s="1">
        <v>30.0</v>
      </c>
      <c r="B159" s="2">
        <v>30093.0</v>
      </c>
    </row>
    <row r="160">
      <c r="A160" s="1">
        <v>30.0</v>
      </c>
      <c r="B160" s="2">
        <v>29996.0</v>
      </c>
    </row>
    <row r="161">
      <c r="A161" s="1">
        <v>30.0</v>
      </c>
      <c r="B161" s="2">
        <v>30079.0</v>
      </c>
    </row>
    <row r="162">
      <c r="A162" s="1">
        <v>30.0</v>
      </c>
      <c r="B162" s="2">
        <v>30002.0</v>
      </c>
    </row>
    <row r="163">
      <c r="A163" s="1">
        <v>30.0</v>
      </c>
      <c r="B163" s="2">
        <v>29877.0</v>
      </c>
    </row>
    <row r="164">
      <c r="A164" s="1">
        <v>30.0</v>
      </c>
      <c r="B164" s="2">
        <v>29973.0</v>
      </c>
    </row>
    <row r="165">
      <c r="A165" s="1">
        <v>30.0</v>
      </c>
      <c r="B165" s="2">
        <v>29971.0</v>
      </c>
    </row>
    <row r="166">
      <c r="A166" s="1">
        <v>30.0</v>
      </c>
      <c r="B166" s="2">
        <v>29986.0</v>
      </c>
    </row>
    <row r="167">
      <c r="A167" s="1">
        <v>30.0</v>
      </c>
      <c r="B167" s="2">
        <v>29949.0</v>
      </c>
    </row>
    <row r="168">
      <c r="A168" s="1">
        <v>30.0</v>
      </c>
      <c r="B168" s="2">
        <v>29988.0</v>
      </c>
    </row>
    <row r="169">
      <c r="A169" s="1">
        <v>30.0</v>
      </c>
      <c r="B169" s="2">
        <v>29986.0</v>
      </c>
    </row>
    <row r="170">
      <c r="A170" s="1">
        <v>30.0</v>
      </c>
      <c r="B170" s="2">
        <v>30007.0</v>
      </c>
    </row>
    <row r="171">
      <c r="A171" s="1">
        <v>30.0</v>
      </c>
      <c r="B171" s="2">
        <v>30022.0</v>
      </c>
    </row>
    <row r="172">
      <c r="A172" s="1">
        <v>30.0</v>
      </c>
      <c r="B172" s="2">
        <v>30026.0</v>
      </c>
    </row>
    <row r="173">
      <c r="A173" s="1">
        <v>30.0</v>
      </c>
      <c r="B173" s="2">
        <v>30045.0</v>
      </c>
    </row>
    <row r="174">
      <c r="A174" s="1">
        <v>30.0</v>
      </c>
      <c r="B174" s="2">
        <v>30043.0</v>
      </c>
    </row>
    <row r="175">
      <c r="A175" s="1">
        <v>30.0</v>
      </c>
      <c r="B175" s="2">
        <v>30075.0</v>
      </c>
    </row>
    <row r="176">
      <c r="A176" s="1">
        <v>30.0</v>
      </c>
      <c r="B176" s="2">
        <v>30064.0</v>
      </c>
    </row>
    <row r="177">
      <c r="A177" s="1">
        <v>30.0</v>
      </c>
      <c r="B177" s="5">
        <v>30097.0</v>
      </c>
    </row>
    <row r="178">
      <c r="A178" s="1">
        <v>40.0</v>
      </c>
      <c r="B178" s="2">
        <v>49526.0</v>
      </c>
    </row>
    <row r="179">
      <c r="A179" s="1">
        <v>40.0</v>
      </c>
      <c r="B179" s="2">
        <v>30105.0</v>
      </c>
    </row>
    <row r="180">
      <c r="A180" s="1">
        <v>40.0</v>
      </c>
      <c r="B180" s="2">
        <v>30030.0</v>
      </c>
    </row>
    <row r="181">
      <c r="A181" s="1">
        <v>40.0</v>
      </c>
      <c r="B181" s="2">
        <v>29934.0</v>
      </c>
    </row>
    <row r="182">
      <c r="A182" s="1">
        <v>40.0</v>
      </c>
      <c r="B182" s="2">
        <v>30049.0</v>
      </c>
    </row>
    <row r="183">
      <c r="A183" s="1">
        <v>40.0</v>
      </c>
      <c r="B183" s="2">
        <v>29932.0</v>
      </c>
    </row>
    <row r="184">
      <c r="A184" s="1">
        <v>40.0</v>
      </c>
      <c r="B184" s="2">
        <v>29930.0</v>
      </c>
    </row>
    <row r="185">
      <c r="A185" s="1">
        <v>40.0</v>
      </c>
      <c r="B185" s="2">
        <v>29909.0</v>
      </c>
    </row>
    <row r="186">
      <c r="A186" s="1">
        <v>40.0</v>
      </c>
      <c r="B186" s="2">
        <v>29930.0</v>
      </c>
    </row>
    <row r="187">
      <c r="A187" s="1">
        <v>40.0</v>
      </c>
      <c r="B187" s="2">
        <v>29947.0</v>
      </c>
    </row>
    <row r="188">
      <c r="A188" s="1">
        <v>40.0</v>
      </c>
      <c r="B188" s="2">
        <v>29999.0</v>
      </c>
    </row>
    <row r="189">
      <c r="A189" s="1">
        <v>40.0</v>
      </c>
      <c r="B189" s="2">
        <v>29941.0</v>
      </c>
    </row>
    <row r="190">
      <c r="A190" s="1">
        <v>40.0</v>
      </c>
      <c r="B190" s="2">
        <v>30888.0</v>
      </c>
    </row>
    <row r="191">
      <c r="A191" s="1">
        <v>40.0</v>
      </c>
      <c r="B191" s="2">
        <v>29972.0</v>
      </c>
    </row>
    <row r="192">
      <c r="A192" s="1">
        <v>40.0</v>
      </c>
      <c r="B192" s="2">
        <v>32001.0</v>
      </c>
    </row>
    <row r="193">
      <c r="A193" s="1">
        <v>40.0</v>
      </c>
      <c r="B193" s="2">
        <v>30166.0</v>
      </c>
    </row>
    <row r="194">
      <c r="A194" s="1">
        <v>40.0</v>
      </c>
      <c r="B194" s="2">
        <v>29911.0</v>
      </c>
    </row>
    <row r="195">
      <c r="A195" s="1">
        <v>40.0</v>
      </c>
      <c r="B195" s="2">
        <v>32999.0</v>
      </c>
    </row>
    <row r="196">
      <c r="A196" s="1">
        <v>40.0</v>
      </c>
      <c r="B196" s="2">
        <v>31011.0</v>
      </c>
    </row>
    <row r="197">
      <c r="A197" s="1">
        <v>40.0</v>
      </c>
      <c r="B197" s="2">
        <v>31001.0</v>
      </c>
    </row>
    <row r="198">
      <c r="A198" s="1">
        <v>40.0</v>
      </c>
      <c r="B198" s="2">
        <v>31937.0</v>
      </c>
    </row>
    <row r="199">
      <c r="A199" s="1">
        <v>40.0</v>
      </c>
      <c r="B199" s="5">
        <v>47220.0</v>
      </c>
    </row>
    <row r="200">
      <c r="A200" s="1">
        <v>50.0</v>
      </c>
      <c r="B200" s="15">
        <v>33284.0</v>
      </c>
    </row>
    <row r="201">
      <c r="A201" s="1">
        <v>50.0</v>
      </c>
      <c r="B201" s="15">
        <v>41849.0</v>
      </c>
    </row>
    <row r="202">
      <c r="A202" s="1">
        <v>50.0</v>
      </c>
      <c r="B202" s="15">
        <v>30931.0</v>
      </c>
    </row>
    <row r="203">
      <c r="A203" s="1">
        <v>50.0</v>
      </c>
      <c r="B203" s="15">
        <v>38811.0</v>
      </c>
    </row>
    <row r="204">
      <c r="A204" s="1">
        <v>50.0</v>
      </c>
      <c r="B204" s="15">
        <v>37009.0</v>
      </c>
    </row>
    <row r="205">
      <c r="A205" s="1">
        <v>50.0</v>
      </c>
      <c r="B205" s="15">
        <v>29890.0</v>
      </c>
    </row>
    <row r="206">
      <c r="A206" s="1">
        <v>50.0</v>
      </c>
      <c r="B206" s="15">
        <v>47092.0</v>
      </c>
    </row>
    <row r="207">
      <c r="A207" s="1">
        <v>50.0</v>
      </c>
      <c r="B207" s="15">
        <v>32732.0</v>
      </c>
    </row>
    <row r="208">
      <c r="A208" s="1">
        <v>50.0</v>
      </c>
      <c r="B208" s="15">
        <v>31873.0</v>
      </c>
    </row>
    <row r="209">
      <c r="A209" s="1">
        <v>50.0</v>
      </c>
      <c r="B209" s="15">
        <v>29941.0</v>
      </c>
    </row>
    <row r="210">
      <c r="A210" s="1">
        <v>50.0</v>
      </c>
      <c r="B210" s="15">
        <v>30852.0</v>
      </c>
    </row>
    <row r="211">
      <c r="A211" s="1">
        <v>50.0</v>
      </c>
      <c r="B211" s="15">
        <v>31007.0</v>
      </c>
    </row>
    <row r="212">
      <c r="A212" s="1">
        <v>50.0</v>
      </c>
      <c r="B212" s="15">
        <v>30050.0</v>
      </c>
    </row>
    <row r="213">
      <c r="A213" s="1">
        <v>50.0</v>
      </c>
      <c r="B213" s="15">
        <v>29963.0</v>
      </c>
    </row>
    <row r="214">
      <c r="A214" s="1">
        <v>50.0</v>
      </c>
      <c r="B214" s="15">
        <v>37542.0</v>
      </c>
    </row>
    <row r="215">
      <c r="A215" s="1">
        <v>50.0</v>
      </c>
      <c r="B215" s="15">
        <v>47257.0</v>
      </c>
    </row>
    <row r="216">
      <c r="A216" s="1">
        <v>50.0</v>
      </c>
      <c r="B216" s="15">
        <v>37639.0</v>
      </c>
    </row>
    <row r="217">
      <c r="A217" s="1">
        <v>50.0</v>
      </c>
      <c r="B217" s="15">
        <v>30881.0</v>
      </c>
    </row>
    <row r="218">
      <c r="A218" s="1">
        <v>50.0</v>
      </c>
      <c r="B218" s="15">
        <v>31056.0</v>
      </c>
    </row>
    <row r="219">
      <c r="A219" s="1">
        <v>50.0</v>
      </c>
      <c r="B219" s="15">
        <v>29895.0</v>
      </c>
    </row>
    <row r="220">
      <c r="A220" s="1">
        <v>50.0</v>
      </c>
      <c r="B220" s="16">
        <v>30889.0</v>
      </c>
    </row>
    <row r="221">
      <c r="A221" s="1">
        <v>50.0</v>
      </c>
      <c r="B221" s="17">
        <v>33571.0</v>
      </c>
    </row>
    <row r="222">
      <c r="A222" s="1">
        <v>60.0</v>
      </c>
      <c r="B222" s="2">
        <v>31020.0</v>
      </c>
    </row>
    <row r="223">
      <c r="A223" s="1">
        <v>60.0</v>
      </c>
      <c r="B223" s="2">
        <v>30077.0</v>
      </c>
    </row>
    <row r="224">
      <c r="A224" s="1">
        <v>60.0</v>
      </c>
      <c r="B224" s="2">
        <v>29962.0</v>
      </c>
    </row>
    <row r="225">
      <c r="A225" s="1">
        <v>60.0</v>
      </c>
      <c r="B225" s="2">
        <v>30078.0</v>
      </c>
    </row>
    <row r="226">
      <c r="A226" s="1">
        <v>60.0</v>
      </c>
      <c r="B226" s="2">
        <v>29956.0</v>
      </c>
    </row>
    <row r="227">
      <c r="A227" s="1">
        <v>60.0</v>
      </c>
      <c r="B227" s="2">
        <v>30029.0</v>
      </c>
    </row>
    <row r="228">
      <c r="A228" s="1">
        <v>60.0</v>
      </c>
      <c r="B228" s="2">
        <v>30948.0</v>
      </c>
    </row>
    <row r="229">
      <c r="A229" s="1">
        <v>60.0</v>
      </c>
      <c r="B229" s="2">
        <v>29989.0</v>
      </c>
    </row>
    <row r="230">
      <c r="A230" s="1">
        <v>60.0</v>
      </c>
      <c r="B230" s="2">
        <v>29958.0</v>
      </c>
    </row>
    <row r="231">
      <c r="A231" s="1">
        <v>60.0</v>
      </c>
      <c r="B231" s="2">
        <v>29982.0</v>
      </c>
    </row>
    <row r="232">
      <c r="A232" s="1">
        <v>60.0</v>
      </c>
      <c r="B232" s="2">
        <v>40793.0</v>
      </c>
    </row>
    <row r="233">
      <c r="A233" s="1">
        <v>60.0</v>
      </c>
      <c r="B233" s="2">
        <v>29966.0</v>
      </c>
    </row>
    <row r="234">
      <c r="A234" s="1">
        <v>60.0</v>
      </c>
      <c r="B234" s="2">
        <v>30071.0</v>
      </c>
    </row>
    <row r="235">
      <c r="A235" s="1">
        <v>60.0</v>
      </c>
      <c r="B235" s="2">
        <v>29852.0</v>
      </c>
    </row>
    <row r="236">
      <c r="A236" s="1">
        <v>60.0</v>
      </c>
      <c r="B236" s="2">
        <v>30018.0</v>
      </c>
    </row>
    <row r="237">
      <c r="A237" s="1">
        <v>60.0</v>
      </c>
      <c r="B237" s="2">
        <v>29910.0</v>
      </c>
    </row>
    <row r="238">
      <c r="A238" s="1">
        <v>60.0</v>
      </c>
      <c r="B238" s="2">
        <v>29955.0</v>
      </c>
    </row>
    <row r="239">
      <c r="A239" s="1">
        <v>60.0</v>
      </c>
      <c r="B239" s="2">
        <v>29867.0</v>
      </c>
    </row>
    <row r="240">
      <c r="A240" s="1">
        <v>60.0</v>
      </c>
      <c r="B240" s="2">
        <v>30000.0</v>
      </c>
    </row>
    <row r="241">
      <c r="A241" s="1">
        <v>60.0</v>
      </c>
      <c r="B241" s="2">
        <v>31009.0</v>
      </c>
    </row>
    <row r="242">
      <c r="A242" s="1">
        <v>60.0</v>
      </c>
      <c r="B242" s="2">
        <v>31011.0</v>
      </c>
    </row>
    <row r="243">
      <c r="A243" s="1">
        <v>60.0</v>
      </c>
      <c r="B243" s="5">
        <v>30000.0</v>
      </c>
    </row>
    <row r="244">
      <c r="A244" s="1">
        <v>82.0</v>
      </c>
      <c r="B244" s="2">
        <v>31099.0</v>
      </c>
    </row>
    <row r="245">
      <c r="A245" s="1">
        <v>82.0</v>
      </c>
      <c r="B245" s="2">
        <v>47249.0</v>
      </c>
    </row>
    <row r="246">
      <c r="A246" s="1">
        <v>82.0</v>
      </c>
      <c r="B246" s="2">
        <v>43746.0</v>
      </c>
    </row>
    <row r="247">
      <c r="A247" s="1">
        <v>82.0</v>
      </c>
      <c r="B247" s="2">
        <v>30100.0</v>
      </c>
    </row>
    <row r="248">
      <c r="A248" s="1">
        <v>82.0</v>
      </c>
      <c r="B248" s="2">
        <v>29946.0</v>
      </c>
    </row>
    <row r="249">
      <c r="A249" s="1">
        <v>82.0</v>
      </c>
      <c r="B249" s="2">
        <v>30025.0</v>
      </c>
    </row>
    <row r="250">
      <c r="A250" s="1">
        <v>82.0</v>
      </c>
      <c r="B250" s="2">
        <v>29973.0</v>
      </c>
    </row>
    <row r="251">
      <c r="A251" s="1">
        <v>82.0</v>
      </c>
      <c r="B251" s="2">
        <v>30024.0</v>
      </c>
    </row>
    <row r="252">
      <c r="A252" s="1">
        <v>82.0</v>
      </c>
      <c r="B252" s="2">
        <v>30963.0</v>
      </c>
    </row>
    <row r="253">
      <c r="A253" s="1">
        <v>82.0</v>
      </c>
      <c r="B253" s="2">
        <v>29933.0</v>
      </c>
    </row>
    <row r="254">
      <c r="A254" s="1">
        <v>82.0</v>
      </c>
      <c r="B254" s="2">
        <v>31023.0</v>
      </c>
    </row>
    <row r="255">
      <c r="A255" s="1">
        <v>82.0</v>
      </c>
      <c r="B255" s="2">
        <v>29871.0</v>
      </c>
    </row>
    <row r="256">
      <c r="A256" s="1">
        <v>82.0</v>
      </c>
      <c r="B256" s="2">
        <v>39754.0</v>
      </c>
    </row>
    <row r="257">
      <c r="A257" s="1">
        <v>82.0</v>
      </c>
      <c r="B257" s="2">
        <v>32033.0</v>
      </c>
    </row>
    <row r="258">
      <c r="A258" s="1">
        <v>82.0</v>
      </c>
      <c r="B258" s="2">
        <v>51129.0</v>
      </c>
    </row>
    <row r="259">
      <c r="A259" s="1">
        <v>82.0</v>
      </c>
      <c r="B259" s="2">
        <v>31892.0</v>
      </c>
    </row>
    <row r="260">
      <c r="A260" s="1">
        <v>82.0</v>
      </c>
      <c r="B260" s="2">
        <v>30044.0</v>
      </c>
    </row>
    <row r="261">
      <c r="A261" s="1">
        <v>82.0</v>
      </c>
      <c r="B261" s="2">
        <v>30088.0</v>
      </c>
    </row>
    <row r="262">
      <c r="A262" s="1">
        <v>82.0</v>
      </c>
      <c r="B262" s="2">
        <v>30190.0</v>
      </c>
    </row>
    <row r="263">
      <c r="A263" s="1">
        <v>82.0</v>
      </c>
      <c r="B263" s="2">
        <v>59257.0</v>
      </c>
    </row>
    <row r="264">
      <c r="A264" s="1">
        <v>82.0</v>
      </c>
      <c r="B264" s="2">
        <v>35873.0</v>
      </c>
    </row>
    <row r="265">
      <c r="A265" s="1">
        <v>82.0</v>
      </c>
      <c r="B265" s="5">
        <v>30000.0</v>
      </c>
    </row>
    <row r="266">
      <c r="A266" s="1">
        <v>93.0</v>
      </c>
      <c r="B266" s="2">
        <v>30140.0</v>
      </c>
    </row>
    <row r="267">
      <c r="A267" s="1">
        <v>93.0</v>
      </c>
      <c r="B267" s="2">
        <v>39507.0</v>
      </c>
    </row>
    <row r="268">
      <c r="A268" s="1">
        <v>93.0</v>
      </c>
      <c r="B268" s="2">
        <v>39529.0</v>
      </c>
    </row>
  </sheetData>
  <drawing r:id="rId1"/>
</worksheet>
</file>